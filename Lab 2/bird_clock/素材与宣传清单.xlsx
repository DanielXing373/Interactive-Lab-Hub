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素材表" sheetId="2" state="visible" r:id="rId2"/>
    <sheet xmlns:r="http://schemas.openxmlformats.org/officeDocument/2006/relationships" name="宣传镜头" sheetId="3" state="visible" r:id="rId3"/>
    <sheet xmlns:r="http://schemas.openxmlformats.org/officeDocument/2006/relationships" name="进度" sheetId="4" state="visible" r:id="rId4"/>
  </sheets>
  <definedNames>
    <definedName name="_xlnm.Print_Titles" localSheetId="0">'说明'!$1:$3</definedName>
    <definedName name="_xlnm._FilterDatabase" localSheetId="1" hidden="1">'素材表'!$A$1:$K$80</definedName>
    <definedName name="_xlnm.Print_Titles" localSheetId="1">'素材表'!$1:$1</definedName>
    <definedName name="_xlnm._FilterDatabase" localSheetId="2" hidden="1">'宣传镜头'!$A$1:$M$60</definedName>
    <definedName name="_xlnm.Print_Titles" localSheetId="2">'宣传镜头'!$1:$1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i val="1"/>
      <color rgb="00666666"/>
      <sz val="9"/>
    </font>
    <font>
      <name val="Arial"/>
      <b val="1"/>
      <color rgb="001F4E3D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F99"/>
      </patternFill>
    </fill>
    <fill>
      <patternFill patternType="solid">
        <fgColor rgb="00F8E6D0"/>
      </patternFill>
    </fill>
    <fill>
      <patternFill patternType="solid">
        <fgColor rgb="00E8F0E4"/>
      </patternFill>
    </fill>
    <fill>
      <patternFill patternType="solid">
        <fgColor rgb="00EEF3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1" fontId="5" fillId="6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3D"/>
    <outlinePr summaryBelow="1" summaryRight="1"/>
    <pageSetUpPr fitToPage="1"/>
  </sheetPr>
  <dimension ref="A2:G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22" customWidth="1" min="4" max="4"/>
    <col width="36" customWidth="1" min="5" max="5"/>
    <col width="18" customWidth="1" min="6" max="6"/>
    <col width="18" customWidth="1" min="7" max="7"/>
  </cols>
  <sheetData>
    <row r="2" ht="24" customHeight="1">
      <c r="B2" s="1" t="inlineStr">
        <is>
          <t>鸟钟 · 素材表 &amp; 宣传镜头清单</t>
        </is>
      </c>
    </row>
    <row r="3" ht="18" customHeight="1">
      <c r="B3" s="2" t="inlineStr">
        <is>
          <t>只做记录与存档，不实现贴图或新功能。黄色 + 蓝字是填写格。黑色是固定说明或公式。</t>
        </is>
      </c>
    </row>
    <row r="5">
      <c r="B5" s="3" t="inlineStr">
        <is>
          <t>怎么填</t>
        </is>
      </c>
    </row>
    <row r="6">
      <c r="A6" s="4" t="n"/>
      <c r="B6" s="4" t="inlineStr">
        <is>
          <t>项目</t>
        </is>
      </c>
      <c r="C6" s="4" t="inlineStr">
        <is>
          <t>说明</t>
        </is>
      </c>
    </row>
    <row r="7" ht="32" customHeight="1">
      <c r="B7" s="5" t="inlineStr">
        <is>
          <t>黄色格子</t>
        </is>
      </c>
      <c r="C7" s="6" t="inlineStr">
        <is>
          <t>你改这里：状态、路径、日期、备注。不要改编号列，方便和镜头表互相引用。</t>
        </is>
      </c>
      <c r="D7" s="7" t="n"/>
      <c r="E7" s="7" t="n"/>
      <c r="F7" s="7" t="n"/>
      <c r="G7" s="8" t="n"/>
    </row>
    <row r="8" ht="32" customHeight="1">
      <c r="B8" s="9" t="inlineStr">
        <is>
          <t>优先级</t>
        </is>
      </c>
      <c r="C8" s="10" t="inlineStr">
        <is>
          <t>P0 = 作业短视频 / 现有可玩。P1 = 第一批美术与故事。P2 = 节日、金字塔、半截障碍、道具。</t>
        </is>
      </c>
      <c r="D8" s="7" t="n"/>
      <c r="E8" s="7" t="n"/>
      <c r="F8" s="7" t="n"/>
      <c r="G8" s="8" t="n"/>
    </row>
    <row r="9" ht="32" customHeight="1">
      <c r="B9" s="5" t="inlineStr">
        <is>
          <t>状态（素材）</t>
        </is>
      </c>
      <c r="C9" s="6" t="inlineStr">
        <is>
          <t>未开始 / 草稿 / 已有贴图 / 已接入 / 暂缓。代码占位算「已接入」，还没有图。</t>
        </is>
      </c>
      <c r="D9" s="7" t="n"/>
      <c r="E9" s="7" t="n"/>
      <c r="F9" s="7" t="n"/>
      <c r="G9" s="8" t="n"/>
    </row>
    <row r="10" ht="32" customHeight="1">
      <c r="B10" s="9" t="inlineStr">
        <is>
          <t>状态（镜头）</t>
        </is>
      </c>
      <c r="C10" s="10" t="inlineStr">
        <is>
          <t>未拍 / 已拍 / 已选用 / 不需要。作业先拍 P0；宣传片等项目完成后再补。</t>
        </is>
      </c>
      <c r="D10" s="7" t="n"/>
      <c r="E10" s="7" t="n"/>
      <c r="F10" s="7" t="n"/>
      <c r="G10" s="8" t="n"/>
    </row>
    <row r="11" ht="32" customHeight="1">
      <c r="B11" s="5" t="inlineStr">
        <is>
          <t>碰撞形状</t>
        </is>
      </c>
      <c r="C11" s="6" t="inlineStr">
        <is>
          <t>皮肤共用形状，不要每张节日图重标。挂饰默认「无碰撞装饰」。</t>
        </is>
      </c>
      <c r="D11" s="7" t="n"/>
      <c r="E11" s="7" t="n"/>
      <c r="F11" s="7" t="n"/>
      <c r="G11" s="8" t="n"/>
    </row>
    <row r="12" ht="32" customHeight="1">
      <c r="B12" s="9" t="inlineStr">
        <is>
          <t>空白行</t>
        </is>
      </c>
      <c r="C12" s="10" t="inlineStr">
        <is>
          <t>两张表底部留了空行，新季节/节日直接往下加编号即可。</t>
        </is>
      </c>
      <c r="D12" s="7" t="n"/>
      <c r="E12" s="7" t="n"/>
      <c r="F12" s="7" t="n"/>
      <c r="G12" s="8" t="n"/>
    </row>
    <row r="13" ht="32" customHeight="1">
      <c r="B13" s="5" t="inlineStr">
        <is>
          <t>进度表</t>
        </is>
      </c>
      <c r="C13" s="6" t="inlineStr">
        <is>
          <t>自动统计未完成数量，供赶工时看还剩什么。</t>
        </is>
      </c>
      <c r="D13" s="7" t="n"/>
      <c r="E13" s="7" t="n"/>
      <c r="F13" s="7" t="n"/>
      <c r="G13" s="8" t="n"/>
    </row>
    <row r="15">
      <c r="B15" s="3" t="inlineStr">
        <is>
          <t>填写格式示例（不要删，对照这一行写）</t>
        </is>
      </c>
    </row>
    <row r="16">
      <c r="B16" s="4" t="inlineStr">
        <is>
          <t>编号</t>
        </is>
      </c>
      <c r="C16" s="4" t="inlineStr">
        <is>
          <t>名称</t>
        </is>
      </c>
      <c r="D16" s="4" t="inlineStr">
        <is>
          <t>状态</t>
        </is>
      </c>
      <c r="E16" s="4" t="inlineStr">
        <is>
          <t>文件路径</t>
        </is>
      </c>
      <c r="F16" s="4" t="inlineStr">
        <is>
          <t>备注</t>
        </is>
      </c>
    </row>
    <row r="17" ht="22" customHeight="1">
      <c r="B17" s="6" t="inlineStr">
        <is>
          <t>O05</t>
        </is>
      </c>
      <c r="C17" s="6" t="inlineStr">
        <is>
          <t>圣诞树</t>
        </is>
      </c>
      <c r="D17" s="11" t="inlineStr">
        <is>
          <t>草稿</t>
        </is>
      </c>
      <c r="E17" s="11" t="inlineStr">
        <is>
          <t>assets/trees/xmas.png</t>
        </is>
      </c>
      <c r="F17" s="11" t="inlineStr">
        <is>
          <t>三角朝上；灯只画不撞</t>
        </is>
      </c>
    </row>
    <row r="18">
      <c r="B18" s="2" t="inlineStr">
        <is>
          <t>路径先随便定一个相对目录即可，例如 assets/trees/。没有文件时路径留空，状态保持「未开始」。</t>
        </is>
      </c>
    </row>
    <row r="20">
      <c r="B20" s="3" t="inlineStr">
        <is>
          <t>碰撞形状词典（障碍按类型共用，不按每张贴图标点）</t>
        </is>
      </c>
    </row>
    <row r="21">
      <c r="B21" s="4" t="inlineStr">
        <is>
          <t>形状名</t>
        </is>
      </c>
      <c r="C21" s="4" t="inlineStr">
        <is>
          <t>对应 gap / 几何</t>
        </is>
      </c>
      <c r="D21" s="4" t="inlineStr">
        <is>
          <t>典型皮肤</t>
        </is>
      </c>
      <c r="E21" s="4" t="inlineStr">
        <is>
          <t>AI 安全区</t>
        </is>
      </c>
    </row>
    <row r="22" ht="36" customHeight="1">
      <c r="B22" s="10" t="inlineStr">
        <is>
          <t>矩形柱双缺口</t>
        </is>
      </c>
      <c r="C22" s="10" t="inlineStr">
        <is>
          <t>现有 x、width、gap_bottom、gap_top；上下都有实体</t>
        </is>
      </c>
      <c r="D22" s="10" t="inlineStr">
        <is>
          <t>四季树干、默认管道</t>
        </is>
      </c>
      <c r="E22" s="10" t="inlineStr">
        <is>
          <t>整段宽度内安全高度不变</t>
        </is>
      </c>
      <c r="F22" s="7" t="n"/>
      <c r="G22" s="8" t="n"/>
    </row>
    <row r="23" ht="36" customHeight="1">
      <c r="B23" s="6" t="inlineStr">
        <is>
          <t>仅下半</t>
        </is>
      </c>
      <c r="C23" s="6" t="inlineStr">
        <is>
          <t>gap_top = 屏顶（或无穷大）</t>
        </is>
      </c>
      <c r="D23" s="6" t="inlineStr">
        <is>
          <t>土坡、矮墙、金字塔底座</t>
        </is>
      </c>
      <c r="E23" s="6" t="inlineStr">
        <is>
          <t>安全区从实体顶到屏顶</t>
        </is>
      </c>
      <c r="F23" s="7" t="n"/>
      <c r="G23" s="8" t="n"/>
    </row>
    <row r="24" ht="36" customHeight="1">
      <c r="B24" s="10" t="inlineStr">
        <is>
          <t>仅上半</t>
        </is>
      </c>
      <c r="C24" s="10" t="inlineStr">
        <is>
          <t>gap_bottom = 0</t>
        </is>
      </c>
      <c r="D24" s="10" t="inlineStr">
        <is>
          <t>倒挂树枝、钟乳的矩形近似</t>
        </is>
      </c>
      <c r="E24" s="10" t="inlineStr">
        <is>
          <t>安全区从 0 到实体底</t>
        </is>
      </c>
      <c r="F24" s="7" t="n"/>
      <c r="G24" s="8" t="n"/>
    </row>
    <row r="25" ht="36" customHeight="1">
      <c r="B25" s="6" t="inlineStr">
        <is>
          <t>三角朝上</t>
        </is>
      </c>
      <c r="C25" s="6" t="inlineStr">
        <is>
          <t>底边矩形 + 两条斜边；尖在上</t>
        </is>
      </c>
      <c r="D25" s="6" t="inlineStr">
        <is>
          <t>金字塔、地上圣诞树</t>
        </is>
      </c>
      <c r="E25" s="6" t="inlineStr">
        <is>
          <t>safe_y_range(x) 随 x 变窄</t>
        </is>
      </c>
      <c r="F25" s="7" t="n"/>
      <c r="G25" s="8" t="n"/>
    </row>
    <row r="26" ht="36" customHeight="1">
      <c r="B26" s="10" t="inlineStr">
        <is>
          <t>三角朝下</t>
        </is>
      </c>
      <c r="C26" s="10" t="inlineStr">
        <is>
          <t>尖在下的对称形状</t>
        </is>
      </c>
      <c r="D26" s="10" t="inlineStr">
        <is>
          <t>倒挂冰锥、倒挂树冠</t>
        </is>
      </c>
      <c r="E26" s="10" t="inlineStr">
        <is>
          <t>同上，方向相反</t>
        </is>
      </c>
      <c r="F26" s="7" t="n"/>
      <c r="G26" s="8" t="n"/>
    </row>
    <row r="27" ht="36" customHeight="1">
      <c r="B27" s="6" t="inlineStr">
        <is>
          <t>无碰撞装饰</t>
        </is>
      </c>
      <c r="C27" s="6" t="inlineStr">
        <is>
          <t>只画不撞，可伸出缺口</t>
        </is>
      </c>
      <c r="D27" s="6" t="inlineStr">
        <is>
          <t>叶子、灯、雪、远景、HUD</t>
        </is>
      </c>
      <c r="E27" s="6" t="inlineStr">
        <is>
          <t>AI 忽略</t>
        </is>
      </c>
      <c r="F27" s="7" t="n"/>
      <c r="G27" s="8" t="n"/>
    </row>
    <row r="28" ht="36" customHeight="1">
      <c r="B28" s="10" t="inlineStr">
        <is>
          <t>鸟矩形</t>
        </is>
      </c>
      <c r="C28" s="10" t="inlineStr">
        <is>
          <t>轴对齐小矩形，可略小于精灵</t>
        </is>
      </c>
      <c r="D28" s="10" t="inlineStr">
        <is>
          <t>鸟占位 / 以后的鸟图</t>
        </is>
      </c>
      <c r="E28" s="10" t="inlineStr">
        <is>
          <t>—</t>
        </is>
      </c>
      <c r="F28" s="7" t="n"/>
      <c r="G28" s="8" t="n"/>
    </row>
    <row r="30">
      <c r="B30" s="3" t="inlineStr">
        <is>
          <t>作业短视频 vs 宣传片</t>
        </is>
      </c>
    </row>
    <row r="31" ht="28" customHeight="1">
      <c r="B31" s="12" t="inlineStr">
        <is>
          <t>Lab 2 Part 2 要求交一段 PiClock 实物视频：优先拍宣传镜头表里「用途=作业提交」且「优先级=P0」的镜头（V01–V06、V09、V17），拼成一条短片即可。宣传片等玩法+皮肤做完再按镜号补拍，文件名建议与镜号一致，例如 V02_idle.mp4，填进「存档文件名」。</t>
        </is>
      </c>
    </row>
    <row r="32" ht="28" customHeight="1"/>
  </sheetData>
  <mergeCells count="18">
    <mergeCell ref="B3:G3"/>
    <mergeCell ref="B2:G2"/>
    <mergeCell ref="E24:G24"/>
    <mergeCell ref="C7:G7"/>
    <mergeCell ref="E28:G28"/>
    <mergeCell ref="C12:G12"/>
    <mergeCell ref="E22:G22"/>
    <mergeCell ref="E27:G27"/>
    <mergeCell ref="C10:G10"/>
    <mergeCell ref="E23:G23"/>
    <mergeCell ref="B31:G32"/>
    <mergeCell ref="C11:G11"/>
    <mergeCell ref="E26:G26"/>
    <mergeCell ref="B18:G18"/>
    <mergeCell ref="C13:G13"/>
    <mergeCell ref="C8:G8"/>
    <mergeCell ref="C9:G9"/>
    <mergeCell ref="E25:G25"/>
  </mergeCells>
  <pageMargins left="0.75" right="0.75" top="1" bottom="1" header="0.5" footer="0.5"/>
  <pageSetup orientation="landscape" fitToHeight="1" fitToWidth="1"/>
  <headerFooter>
    <oddHeader>&amp;Lbird_clock 素材与宣传清单</oddHeader>
    <oddFooter>&amp;LInteractive-Lab-Hub / Lab 2 / bird_clock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4" customWidth="1" min="4" max="4"/>
    <col width="16" customWidth="1" min="5" max="5"/>
    <col width="42" customWidth="1" min="6" max="6"/>
    <col width="10" customWidth="1" min="7" max="7"/>
    <col width="12" customWidth="1" min="8" max="8"/>
    <col width="28" customWidth="1" min="9" max="9"/>
    <col width="16" customWidth="1" min="10" max="10"/>
    <col width="28" customWidth="1" min="11" max="11"/>
  </cols>
  <sheetData>
    <row r="1" ht="22" customHeight="1">
      <c r="A1" s="4" t="inlineStr">
        <is>
          <t>编号</t>
        </is>
      </c>
      <c r="B1" s="4" t="inlineStr">
        <is>
          <t>类别</t>
        </is>
      </c>
      <c r="C1" s="4" t="inlineStr">
        <is>
          <t>名称</t>
        </is>
      </c>
      <c r="D1" s="4" t="inlineStr">
        <is>
          <t>季节或节日</t>
        </is>
      </c>
      <c r="E1" s="4" t="inlineStr">
        <is>
          <t>碰撞形状</t>
        </is>
      </c>
      <c r="F1" s="4" t="inlineStr">
        <is>
          <t>用途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文件路径</t>
        </is>
      </c>
      <c r="J1" s="4" t="inlineStr">
        <is>
          <t>关联镜头</t>
        </is>
      </c>
      <c r="K1" s="4" t="inlineStr">
        <is>
          <t>备注</t>
        </is>
      </c>
    </row>
    <row r="2" ht="36" customHeight="1">
      <c r="A2" s="13" t="inlineStr">
        <is>
          <t>A01</t>
        </is>
      </c>
      <c r="B2" s="13" t="inlineStr">
        <is>
          <t>角色</t>
        </is>
      </c>
      <c r="C2" s="13" t="inlineStr">
        <is>
          <t>鸟（占位方块）</t>
        </is>
      </c>
      <c r="D2" s="13" t="inlineStr">
        <is>
          <t>通用</t>
        </is>
      </c>
      <c r="E2" s="13" t="inlineStr">
        <is>
          <t>鸟矩形</t>
        </is>
      </c>
      <c r="F2" s="13" t="inlineStr">
        <is>
          <t>当前 8×8 矩形；以后换精灵时碰撞可略小于贴图，不必描翅膀</t>
        </is>
      </c>
      <c r="G2" s="13" t="inlineStr">
        <is>
          <t>P0</t>
        </is>
      </c>
      <c r="H2" s="11" t="inlineStr">
        <is>
          <t>已接入</t>
        </is>
      </c>
      <c r="I2" s="11" t="inlineStr"/>
      <c r="J2" s="14" t="inlineStr">
        <is>
          <t>V02 V03 V04</t>
        </is>
      </c>
      <c r="K2" s="11" t="inlineStr"/>
    </row>
    <row r="3" ht="36" customHeight="1">
      <c r="A3" s="13" t="inlineStr">
        <is>
          <t>A02</t>
        </is>
      </c>
      <c r="B3" s="13" t="inlineStr">
        <is>
          <t>障碍</t>
        </is>
      </c>
      <c r="C3" s="13" t="inlineStr">
        <is>
          <t>双端管道 / 树干</t>
        </is>
      </c>
      <c r="D3" s="13" t="inlineStr">
        <is>
          <t>通用</t>
        </is>
      </c>
      <c r="E3" s="13" t="inlineStr">
        <is>
          <t>矩形柱双缺口</t>
        </is>
      </c>
      <c r="F3" s="13" t="inlineStr">
        <is>
          <t>现有玩法碰撞：左右宽度 + gap_bottom / gap_top。季节树默认共用这一份几何</t>
        </is>
      </c>
      <c r="G3" s="13" t="inlineStr">
        <is>
          <t>P0</t>
        </is>
      </c>
      <c r="H3" s="11" t="inlineStr">
        <is>
          <t>已接入</t>
        </is>
      </c>
      <c r="I3" s="11" t="inlineStr"/>
      <c r="J3" s="14" t="inlineStr">
        <is>
          <t>V02 V05</t>
        </is>
      </c>
      <c r="K3" s="11" t="inlineStr"/>
    </row>
    <row r="4" ht="36" customHeight="1">
      <c r="A4" s="13" t="inlineStr">
        <is>
          <t>A03</t>
        </is>
      </c>
      <c r="B4" s="13" t="inlineStr">
        <is>
          <t>背景</t>
        </is>
      </c>
      <c r="C4" s="13" t="inlineStr">
        <is>
          <t>纯色天空</t>
        </is>
      </c>
      <c r="D4" s="13" t="inlineStr">
        <is>
          <t>通用</t>
        </is>
      </c>
      <c r="E4" s="13" t="inlineStr">
        <is>
          <t>无碰撞装饰</t>
        </is>
      </c>
      <c r="F4" s="13" t="inlineStr">
        <is>
          <t>当前整屏背景色；之后被季节天空替换</t>
        </is>
      </c>
      <c r="G4" s="13" t="inlineStr">
        <is>
          <t>P0</t>
        </is>
      </c>
      <c r="H4" s="11" t="inlineStr">
        <is>
          <t>已接入</t>
        </is>
      </c>
      <c r="I4" s="11" t="inlineStr"/>
      <c r="J4" s="14" t="inlineStr">
        <is>
          <t>V02</t>
        </is>
      </c>
      <c r="K4" s="11" t="inlineStr"/>
    </row>
    <row r="5" ht="36" customHeight="1">
      <c r="A5" s="13" t="inlineStr">
        <is>
          <t>A04</t>
        </is>
      </c>
      <c r="B5" s="13" t="inlineStr">
        <is>
          <t>HUD</t>
        </is>
      </c>
      <c r="C5" s="13" t="inlineStr">
        <is>
          <t>IDLE / 分数 / 按键提示</t>
        </is>
      </c>
      <c r="D5" s="13" t="inlineStr">
        <is>
          <t>通用</t>
        </is>
      </c>
      <c r="E5" s="13" t="inlineStr">
        <is>
          <t>无碰撞装饰</t>
        </is>
      </c>
      <c r="F5" s="13" t="inlineStr">
        <is>
          <t>IDLE 分、局内分、Best、A start / B flap 提示</t>
        </is>
      </c>
      <c r="G5" s="13" t="inlineStr">
        <is>
          <t>P0</t>
        </is>
      </c>
      <c r="H5" s="11" t="inlineStr">
        <is>
          <t>已接入</t>
        </is>
      </c>
      <c r="I5" s="11" t="inlineStr"/>
      <c r="J5" s="14" t="inlineStr">
        <is>
          <t>V06</t>
        </is>
      </c>
      <c r="K5" s="11" t="inlineStr"/>
    </row>
    <row r="6" ht="36" customHeight="1">
      <c r="A6" s="13" t="inlineStr">
        <is>
          <t>A05</t>
        </is>
      </c>
      <c r="B6" s="13" t="inlineStr">
        <is>
          <t>角色</t>
        </is>
      </c>
      <c r="C6" s="13" t="inlineStr">
        <is>
          <t>死亡着色</t>
        </is>
      </c>
      <c r="D6" s="13" t="inlineStr">
        <is>
          <t>通用</t>
        </is>
      </c>
      <c r="E6" s="13" t="inlineStr">
        <is>
          <t>鸟矩形</t>
        </is>
      </c>
      <c r="F6" s="13" t="inlineStr">
        <is>
          <t>坠落时换色，碰撞体不变</t>
        </is>
      </c>
      <c r="G6" s="13" t="inlineStr">
        <is>
          <t>P0</t>
        </is>
      </c>
      <c r="H6" s="11" t="inlineStr">
        <is>
          <t>已接入</t>
        </is>
      </c>
      <c r="I6" s="11" t="inlineStr"/>
      <c r="J6" s="14" t="inlineStr">
        <is>
          <t>V05</t>
        </is>
      </c>
      <c r="K6" s="11" t="inlineStr"/>
    </row>
    <row r="7" ht="36" customHeight="1">
      <c r="A7" s="15" t="inlineStr">
        <is>
          <t>B01</t>
        </is>
      </c>
      <c r="B7" s="15" t="inlineStr">
        <is>
          <t>背景</t>
        </is>
      </c>
      <c r="C7" s="15" t="inlineStr">
        <is>
          <t>春天空</t>
        </is>
      </c>
      <c r="D7" s="15" t="inlineStr">
        <is>
          <t>春</t>
        </is>
      </c>
      <c r="E7" s="15" t="inlineStr">
        <is>
          <t>无碰撞装饰</t>
        </is>
      </c>
      <c r="F7" s="15" t="inlineStr">
        <is>
          <t>远景层，不参与碰撞</t>
        </is>
      </c>
      <c r="G7" s="15" t="inlineStr">
        <is>
          <t>P1</t>
        </is>
      </c>
      <c r="H7" s="11" t="inlineStr">
        <is>
          <t>未开始</t>
        </is>
      </c>
      <c r="I7" s="11" t="inlineStr"/>
      <c r="J7" s="16" t="inlineStr">
        <is>
          <t>V10</t>
        </is>
      </c>
      <c r="K7" s="11" t="inlineStr"/>
    </row>
    <row r="8" ht="36" customHeight="1">
      <c r="A8" s="15" t="inlineStr">
        <is>
          <t>B02</t>
        </is>
      </c>
      <c r="B8" s="15" t="inlineStr">
        <is>
          <t>背景</t>
        </is>
      </c>
      <c r="C8" s="15" t="inlineStr">
        <is>
          <t>夏天空</t>
        </is>
      </c>
      <c r="D8" s="15" t="inlineStr">
        <is>
          <t>夏</t>
        </is>
      </c>
      <c r="E8" s="15" t="inlineStr">
        <is>
          <t>无碰撞装饰</t>
        </is>
      </c>
      <c r="F8" s="15" t="inlineStr">
        <is>
          <t>远景层，不参与碰撞</t>
        </is>
      </c>
      <c r="G8" s="15" t="inlineStr">
        <is>
          <t>P1</t>
        </is>
      </c>
      <c r="H8" s="11" t="inlineStr">
        <is>
          <t>未开始</t>
        </is>
      </c>
      <c r="I8" s="11" t="inlineStr"/>
      <c r="J8" s="16" t="inlineStr">
        <is>
          <t>V10</t>
        </is>
      </c>
      <c r="K8" s="11" t="inlineStr"/>
    </row>
    <row r="9" ht="36" customHeight="1">
      <c r="A9" s="15" t="inlineStr">
        <is>
          <t>B03</t>
        </is>
      </c>
      <c r="B9" s="15" t="inlineStr">
        <is>
          <t>背景</t>
        </is>
      </c>
      <c r="C9" s="15" t="inlineStr">
        <is>
          <t>秋天空</t>
        </is>
      </c>
      <c r="D9" s="15" t="inlineStr">
        <is>
          <t>秋</t>
        </is>
      </c>
      <c r="E9" s="15" t="inlineStr">
        <is>
          <t>无碰撞装饰</t>
        </is>
      </c>
      <c r="F9" s="15" t="inlineStr">
        <is>
          <t>远景层，不参与碰撞</t>
        </is>
      </c>
      <c r="G9" s="15" t="inlineStr">
        <is>
          <t>P1</t>
        </is>
      </c>
      <c r="H9" s="11" t="inlineStr">
        <is>
          <t>未开始</t>
        </is>
      </c>
      <c r="I9" s="11" t="inlineStr"/>
      <c r="J9" s="16" t="inlineStr">
        <is>
          <t>V10</t>
        </is>
      </c>
      <c r="K9" s="11" t="inlineStr"/>
    </row>
    <row r="10" ht="36" customHeight="1">
      <c r="A10" s="15" t="inlineStr">
        <is>
          <t>B04</t>
        </is>
      </c>
      <c r="B10" s="15" t="inlineStr">
        <is>
          <t>背景</t>
        </is>
      </c>
      <c r="C10" s="15" t="inlineStr">
        <is>
          <t>冬天空</t>
        </is>
      </c>
      <c r="D10" s="15" t="inlineStr">
        <is>
          <t>冬</t>
        </is>
      </c>
      <c r="E10" s="15" t="inlineStr">
        <is>
          <t>无碰撞装饰</t>
        </is>
      </c>
      <c r="F10" s="15" t="inlineStr">
        <is>
          <t>远景层，不参与碰撞</t>
        </is>
      </c>
      <c r="G10" s="15" t="inlineStr">
        <is>
          <t>P1</t>
        </is>
      </c>
      <c r="H10" s="11" t="inlineStr">
        <is>
          <t>未开始</t>
        </is>
      </c>
      <c r="I10" s="11" t="inlineStr"/>
      <c r="J10" s="16" t="inlineStr">
        <is>
          <t>V10</t>
        </is>
      </c>
      <c r="K10" s="11" t="inlineStr"/>
    </row>
    <row r="11" ht="36" customHeight="1">
      <c r="A11" s="17" t="inlineStr">
        <is>
          <t>B05</t>
        </is>
      </c>
      <c r="B11" s="17" t="inlineStr">
        <is>
          <t>背景</t>
        </is>
      </c>
      <c r="C11" s="17" t="inlineStr">
        <is>
          <t>昼夜 / 时刻天空</t>
        </is>
      </c>
      <c r="D11" s="17" t="inlineStr">
        <is>
          <t>按时钟</t>
        </is>
      </c>
      <c r="E11" s="17" t="inlineStr">
        <is>
          <t>无碰撞装饰</t>
        </is>
      </c>
      <c r="F11" s="17" t="inlineStr">
        <is>
          <t>config 里已留：按 wall-clock 换调色，不改手感</t>
        </is>
      </c>
      <c r="G11" s="17" t="inlineStr">
        <is>
          <t>P2</t>
        </is>
      </c>
      <c r="H11" s="11" t="inlineStr">
        <is>
          <t>未开始</t>
        </is>
      </c>
      <c r="I11" s="11" t="inlineStr"/>
      <c r="J11" s="18" t="inlineStr">
        <is>
          <t>V15</t>
        </is>
      </c>
      <c r="K11" s="11" t="inlineStr"/>
    </row>
    <row r="12" ht="36" customHeight="1">
      <c r="A12" s="15" t="inlineStr">
        <is>
          <t>B06</t>
        </is>
      </c>
      <c r="B12" s="15" t="inlineStr">
        <is>
          <t>装饰</t>
        </is>
      </c>
      <c r="C12" s="15" t="inlineStr">
        <is>
          <t>地面条</t>
        </is>
      </c>
      <c r="D12" s="15" t="inlineStr">
        <is>
          <t>通用</t>
        </is>
      </c>
      <c r="E12" s="15" t="inlineStr">
        <is>
          <t>无碰撞装饰</t>
        </is>
      </c>
      <c r="F12" s="15" t="inlineStr">
        <is>
          <t>屏幕底一窄条地面，默认不撞；若要撞再改「仅下半」</t>
        </is>
      </c>
      <c r="G12" s="15" t="inlineStr">
        <is>
          <t>P1</t>
        </is>
      </c>
      <c r="H12" s="11" t="inlineStr">
        <is>
          <t>未开始</t>
        </is>
      </c>
      <c r="I12" s="11" t="inlineStr"/>
      <c r="J12" s="16" t="inlineStr">
        <is>
          <t>V10</t>
        </is>
      </c>
      <c r="K12" s="11" t="inlineStr"/>
    </row>
    <row r="13" ht="36" customHeight="1">
      <c r="A13" s="15" t="inlineStr">
        <is>
          <t>B07</t>
        </is>
      </c>
      <c r="B13" s="15" t="inlineStr">
        <is>
          <t>装饰</t>
        </is>
      </c>
      <c r="C13" s="15" t="inlineStr">
        <is>
          <t>远景树</t>
        </is>
      </c>
      <c r="D13" s="15" t="inlineStr">
        <is>
          <t>随季节</t>
        </is>
      </c>
      <c r="E13" s="15" t="inlineStr">
        <is>
          <t>无碰撞装饰</t>
        </is>
      </c>
      <c r="F13" s="15" t="inlineStr">
        <is>
          <t>比碰撞柱更靠后、更大，只烘托季节</t>
        </is>
      </c>
      <c r="G13" s="15" t="inlineStr">
        <is>
          <t>P1</t>
        </is>
      </c>
      <c r="H13" s="11" t="inlineStr">
        <is>
          <t>未开始</t>
        </is>
      </c>
      <c r="I13" s="11" t="inlineStr"/>
      <c r="J13" s="16" t="inlineStr">
        <is>
          <t>V10</t>
        </is>
      </c>
      <c r="K13" s="11" t="inlineStr"/>
    </row>
    <row r="14" ht="36" customHeight="1">
      <c r="A14" s="15" t="inlineStr">
        <is>
          <t>O01</t>
        </is>
      </c>
      <c r="B14" s="15" t="inlineStr">
        <is>
          <t>障碍</t>
        </is>
      </c>
      <c r="C14" s="15" t="inlineStr">
        <is>
          <t>春树皮肤</t>
        </is>
      </c>
      <c r="D14" s="15" t="inlineStr">
        <is>
          <t>春</t>
        </is>
      </c>
      <c r="E14" s="15" t="inlineStr">
        <is>
          <t>矩形柱双缺口</t>
        </is>
      </c>
      <c r="F14" s="15" t="inlineStr">
        <is>
          <t>贴图换装，碰撞仍用 A02</t>
        </is>
      </c>
      <c r="G14" s="15" t="inlineStr">
        <is>
          <t>P1</t>
        </is>
      </c>
      <c r="H14" s="11" t="inlineStr">
        <is>
          <t>未开始</t>
        </is>
      </c>
      <c r="I14" s="11" t="inlineStr"/>
      <c r="J14" s="16" t="inlineStr">
        <is>
          <t>V10</t>
        </is>
      </c>
      <c r="K14" s="11" t="inlineStr"/>
    </row>
    <row r="15" ht="36" customHeight="1">
      <c r="A15" s="15" t="inlineStr">
        <is>
          <t>O02</t>
        </is>
      </c>
      <c r="B15" s="15" t="inlineStr">
        <is>
          <t>障碍</t>
        </is>
      </c>
      <c r="C15" s="15" t="inlineStr">
        <is>
          <t>夏树皮肤</t>
        </is>
      </c>
      <c r="D15" s="15" t="inlineStr">
        <is>
          <t>夏</t>
        </is>
      </c>
      <c r="E15" s="15" t="inlineStr">
        <is>
          <t>矩形柱双缺口</t>
        </is>
      </c>
      <c r="F15" s="15" t="inlineStr">
        <is>
          <t>贴图换装，碰撞仍用 A02</t>
        </is>
      </c>
      <c r="G15" s="15" t="inlineStr">
        <is>
          <t>P1</t>
        </is>
      </c>
      <c r="H15" s="11" t="inlineStr">
        <is>
          <t>未开始</t>
        </is>
      </c>
      <c r="I15" s="11" t="inlineStr"/>
      <c r="J15" s="16" t="inlineStr">
        <is>
          <t>V10</t>
        </is>
      </c>
      <c r="K15" s="11" t="inlineStr"/>
    </row>
    <row r="16" ht="36" customHeight="1">
      <c r="A16" s="15" t="inlineStr">
        <is>
          <t>O03</t>
        </is>
      </c>
      <c r="B16" s="15" t="inlineStr">
        <is>
          <t>障碍</t>
        </is>
      </c>
      <c r="C16" s="15" t="inlineStr">
        <is>
          <t>秋树皮肤</t>
        </is>
      </c>
      <c r="D16" s="15" t="inlineStr">
        <is>
          <t>秋</t>
        </is>
      </c>
      <c r="E16" s="15" t="inlineStr">
        <is>
          <t>矩形柱双缺口</t>
        </is>
      </c>
      <c r="F16" s="15" t="inlineStr">
        <is>
          <t>贴图换装，碰撞仍用 A02</t>
        </is>
      </c>
      <c r="G16" s="15" t="inlineStr">
        <is>
          <t>P1</t>
        </is>
      </c>
      <c r="H16" s="11" t="inlineStr">
        <is>
          <t>未开始</t>
        </is>
      </c>
      <c r="I16" s="11" t="inlineStr"/>
      <c r="J16" s="16" t="inlineStr">
        <is>
          <t>V10</t>
        </is>
      </c>
      <c r="K16" s="11" t="inlineStr"/>
    </row>
    <row r="17" ht="36" customHeight="1">
      <c r="A17" s="15" t="inlineStr">
        <is>
          <t>O04</t>
        </is>
      </c>
      <c r="B17" s="15" t="inlineStr">
        <is>
          <t>障碍</t>
        </is>
      </c>
      <c r="C17" s="15" t="inlineStr">
        <is>
          <t>冬树皮肤</t>
        </is>
      </c>
      <c r="D17" s="15" t="inlineStr">
        <is>
          <t>冬</t>
        </is>
      </c>
      <c r="E17" s="15" t="inlineStr">
        <is>
          <t>矩形柱双缺口</t>
        </is>
      </c>
      <c r="F17" s="15" t="inlineStr">
        <is>
          <t>贴图换装，碰撞仍用 A02</t>
        </is>
      </c>
      <c r="G17" s="15" t="inlineStr">
        <is>
          <t>P1</t>
        </is>
      </c>
      <c r="H17" s="11" t="inlineStr">
        <is>
          <t>未开始</t>
        </is>
      </c>
      <c r="I17" s="11" t="inlineStr"/>
      <c r="J17" s="16" t="inlineStr">
        <is>
          <t>V10</t>
        </is>
      </c>
      <c r="K17" s="11" t="inlineStr"/>
    </row>
    <row r="18" ht="36" customHeight="1">
      <c r="A18" s="17" t="inlineStr">
        <is>
          <t>O05</t>
        </is>
      </c>
      <c r="B18" s="17" t="inlineStr">
        <is>
          <t>障碍</t>
        </is>
      </c>
      <c r="C18" s="17" t="inlineStr">
        <is>
          <t>圣诞树</t>
        </is>
      </c>
      <c r="D18" s="17" t="inlineStr">
        <is>
          <t>圣诞</t>
        </is>
      </c>
      <c r="E18" s="17" t="inlineStr">
        <is>
          <t>三角朝上</t>
        </is>
      </c>
      <c r="F18" s="17" t="inlineStr">
        <is>
          <t>斜边碰撞；叶子/挂饰可画出三角形外，不进 hitbox</t>
        </is>
      </c>
      <c r="G18" s="17" t="inlineStr">
        <is>
          <t>P2</t>
        </is>
      </c>
      <c r="H18" s="11" t="inlineStr">
        <is>
          <t>未开始</t>
        </is>
      </c>
      <c r="I18" s="11" t="inlineStr"/>
      <c r="J18" s="18" t="inlineStr">
        <is>
          <t>V13</t>
        </is>
      </c>
      <c r="K18" s="11" t="inlineStr"/>
    </row>
    <row r="19" ht="36" customHeight="1">
      <c r="A19" s="17" t="inlineStr">
        <is>
          <t>O06</t>
        </is>
      </c>
      <c r="B19" s="17" t="inlineStr">
        <is>
          <t>障碍</t>
        </is>
      </c>
      <c r="C19" s="17" t="inlineStr">
        <is>
          <t>金字塔</t>
        </is>
      </c>
      <c r="D19" s="17" t="inlineStr">
        <is>
          <t>主题关</t>
        </is>
      </c>
      <c r="E19" s="17" t="inlineStr">
        <is>
          <t>三角朝上</t>
        </is>
      </c>
      <c r="F19" s="17" t="inlineStr">
        <is>
          <t>与圣诞树共用「三角朝上」几何，只换贴图</t>
        </is>
      </c>
      <c r="G19" s="17" t="inlineStr">
        <is>
          <t>P2</t>
        </is>
      </c>
      <c r="H19" s="11" t="inlineStr">
        <is>
          <t>未开始</t>
        </is>
      </c>
      <c r="I19" s="11" t="inlineStr"/>
      <c r="J19" s="18" t="inlineStr">
        <is>
          <t>V11</t>
        </is>
      </c>
      <c r="K19" s="11" t="inlineStr"/>
    </row>
    <row r="20" ht="36" customHeight="1">
      <c r="A20" s="17" t="inlineStr">
        <is>
          <t>O07</t>
        </is>
      </c>
      <c r="B20" s="17" t="inlineStr">
        <is>
          <t>障碍</t>
        </is>
      </c>
      <c r="C20" s="17" t="inlineStr">
        <is>
          <t>仅下半墙 / 土坡</t>
        </is>
      </c>
      <c r="D20" s="17" t="inlineStr">
        <is>
          <t>通用</t>
        </is>
      </c>
      <c r="E20" s="17" t="inlineStr">
        <is>
          <t>仅下半</t>
        </is>
      </c>
      <c r="F20" s="17" t="inlineStr">
        <is>
          <t>gap_top = 屏顶；从上方飞过</t>
        </is>
      </c>
      <c r="G20" s="17" t="inlineStr">
        <is>
          <t>P2</t>
        </is>
      </c>
      <c r="H20" s="11" t="inlineStr">
        <is>
          <t>未开始</t>
        </is>
      </c>
      <c r="I20" s="11" t="inlineStr"/>
      <c r="J20" s="18" t="inlineStr">
        <is>
          <t>V12</t>
        </is>
      </c>
      <c r="K20" s="11" t="inlineStr"/>
    </row>
    <row r="21" ht="36" customHeight="1">
      <c r="A21" s="17" t="inlineStr">
        <is>
          <t>O08</t>
        </is>
      </c>
      <c r="B21" s="17" t="inlineStr">
        <is>
          <t>障碍</t>
        </is>
      </c>
      <c r="C21" s="17" t="inlineStr">
        <is>
          <t>仅上半倒挂</t>
        </is>
      </c>
      <c r="D21" s="17" t="inlineStr">
        <is>
          <t>通用</t>
        </is>
      </c>
      <c r="E21" s="17" t="inlineStr">
        <is>
          <t>仅上半</t>
        </is>
      </c>
      <c r="F21" s="17" t="inlineStr">
        <is>
          <t>gap_bottom = 0；从下方钻过</t>
        </is>
      </c>
      <c r="G21" s="17" t="inlineStr">
        <is>
          <t>P2</t>
        </is>
      </c>
      <c r="H21" s="11" t="inlineStr">
        <is>
          <t>未开始</t>
        </is>
      </c>
      <c r="I21" s="11" t="inlineStr"/>
      <c r="J21" s="18" t="inlineStr">
        <is>
          <t>V12</t>
        </is>
      </c>
      <c r="K21" s="11" t="inlineStr"/>
    </row>
    <row r="22" ht="36" customHeight="1">
      <c r="A22" s="17" t="inlineStr">
        <is>
          <t>O09</t>
        </is>
      </c>
      <c r="B22" s="17" t="inlineStr">
        <is>
          <t>障碍</t>
        </is>
      </c>
      <c r="C22" s="17" t="inlineStr">
        <is>
          <t>倒挂冰锥 / 钟乳</t>
        </is>
      </c>
      <c r="D22" s="17" t="inlineStr">
        <is>
          <t>冬</t>
        </is>
      </c>
      <c r="E22" s="17" t="inlineStr">
        <is>
          <t>三角朝下</t>
        </is>
      </c>
      <c r="F22" s="17" t="inlineStr">
        <is>
          <t>与半截可组合：斜边 + 仅上半</t>
        </is>
      </c>
      <c r="G22" s="17" t="inlineStr">
        <is>
          <t>P2</t>
        </is>
      </c>
      <c r="H22" s="11" t="inlineStr">
        <is>
          <t>未开始</t>
        </is>
      </c>
      <c r="I22" s="11" t="inlineStr"/>
      <c r="J22" s="18" t="inlineStr">
        <is>
          <t>V12 V13</t>
        </is>
      </c>
      <c r="K22" s="11" t="inlineStr"/>
    </row>
    <row r="23" ht="36" customHeight="1">
      <c r="A23" s="17" t="inlineStr">
        <is>
          <t>O10</t>
        </is>
      </c>
      <c r="B23" s="17" t="inlineStr">
        <is>
          <t>障碍</t>
        </is>
      </c>
      <c r="C23" s="17" t="inlineStr">
        <is>
          <t>节日树皮肤（待定）</t>
        </is>
      </c>
      <c r="D23" s="17" t="inlineStr">
        <is>
          <t>节日待填</t>
        </is>
      </c>
      <c r="E23" s="17" t="inlineStr">
        <is>
          <t>矩形柱双缺口</t>
        </is>
      </c>
      <c r="F23" s="17" t="inlineStr">
        <is>
          <t>春节/万圣等先共用柱形碰撞，名称和日期在备注里补</t>
        </is>
      </c>
      <c r="G23" s="17" t="inlineStr">
        <is>
          <t>P2</t>
        </is>
      </c>
      <c r="H23" s="11" t="inlineStr">
        <is>
          <t>未开始</t>
        </is>
      </c>
      <c r="I23" s="11" t="inlineStr"/>
      <c r="J23" s="18" t="inlineStr">
        <is>
          <t>V13</t>
        </is>
      </c>
      <c r="K23" s="11" t="inlineStr"/>
    </row>
    <row r="24" ht="36" customHeight="1">
      <c r="A24" s="15" t="inlineStr">
        <is>
          <t>O11</t>
        </is>
      </c>
      <c r="B24" s="15" t="inlineStr">
        <is>
          <t>装饰</t>
        </is>
      </c>
      <c r="C24" s="15" t="inlineStr">
        <is>
          <t>树冠挂饰 / 灯 / 雪</t>
        </is>
      </c>
      <c r="D24" s="15" t="inlineStr">
        <is>
          <t>随皮肤</t>
        </is>
      </c>
      <c r="E24" s="15" t="inlineStr">
        <is>
          <t>无碰撞装饰</t>
        </is>
      </c>
      <c r="F24" s="15" t="inlineStr">
        <is>
          <t>允许伸进缺口，只画不撞</t>
        </is>
      </c>
      <c r="G24" s="15" t="inlineStr">
        <is>
          <t>P1</t>
        </is>
      </c>
      <c r="H24" s="11" t="inlineStr">
        <is>
          <t>未开始</t>
        </is>
      </c>
      <c r="I24" s="11" t="inlineStr"/>
      <c r="J24" s="16" t="inlineStr">
        <is>
          <t>V10 V13</t>
        </is>
      </c>
      <c r="K24" s="11" t="inlineStr"/>
    </row>
    <row r="25" ht="36" customHeight="1">
      <c r="A25" s="17" t="inlineStr">
        <is>
          <t>I01</t>
        </is>
      </c>
      <c r="B25" s="17" t="inlineStr">
        <is>
          <t>道具</t>
        </is>
      </c>
      <c r="C25" s="17" t="inlineStr">
        <is>
          <t>金币</t>
        </is>
      </c>
      <c r="D25" s="17" t="inlineStr">
        <is>
          <t>通用</t>
        </is>
      </c>
      <c r="E25" s="17" t="inlineStr">
        <is>
          <t>无碰撞装饰</t>
        </is>
      </c>
      <c r="F25" s="17" t="inlineStr">
        <is>
          <t>ItemConfig 已留口；加分，不挡路</t>
        </is>
      </c>
      <c r="G25" s="17" t="inlineStr">
        <is>
          <t>P2</t>
        </is>
      </c>
      <c r="H25" s="11" t="inlineStr">
        <is>
          <t>未开始</t>
        </is>
      </c>
      <c r="I25" s="11" t="inlineStr"/>
      <c r="J25" s="18" t="inlineStr">
        <is>
          <t>V16</t>
        </is>
      </c>
      <c r="K25" s="11" t="inlineStr"/>
    </row>
    <row r="26" ht="36" customHeight="1">
      <c r="A26" s="17" t="inlineStr">
        <is>
          <t>I02</t>
        </is>
      </c>
      <c r="B26" s="17" t="inlineStr">
        <is>
          <t>道具</t>
        </is>
      </c>
      <c r="C26" s="17" t="inlineStr">
        <is>
          <t>无敌</t>
        </is>
      </c>
      <c r="D26" s="17" t="inlineStr">
        <is>
          <t>通用</t>
        </is>
      </c>
      <c r="E26" s="17" t="inlineStr">
        <is>
          <t>无碰撞装饰</t>
        </is>
      </c>
      <c r="F26" s="17" t="inlineStr">
        <is>
          <t>暂时关掉鸟 hitbox</t>
        </is>
      </c>
      <c r="G26" s="17" t="inlineStr">
        <is>
          <t>P2</t>
        </is>
      </c>
      <c r="H26" s="11" t="inlineStr">
        <is>
          <t>未开始</t>
        </is>
      </c>
      <c r="I26" s="11" t="inlineStr"/>
      <c r="J26" s="18" t="inlineStr">
        <is>
          <t>V16</t>
        </is>
      </c>
      <c r="K26" s="11" t="inlineStr"/>
    </row>
    <row r="27" ht="36" customHeight="1">
      <c r="A27" s="17" t="inlineStr">
        <is>
          <t>H01</t>
        </is>
      </c>
      <c r="B27" s="17" t="inlineStr">
        <is>
          <t>HUD</t>
        </is>
      </c>
      <c r="C27" s="17" t="inlineStr">
        <is>
          <t>六十进制 / 水果计时</t>
        </is>
      </c>
      <c r="D27" s="17" t="inlineStr">
        <is>
          <t>时钟</t>
        </is>
      </c>
      <c r="E27" s="17" t="inlineStr">
        <is>
          <t>无碰撞装饰</t>
        </is>
      </c>
      <c r="F27" s="17" t="inlineStr">
        <is>
          <t>真实时间映射到分数或代币显示</t>
        </is>
      </c>
      <c r="G27" s="17" t="inlineStr">
        <is>
          <t>P2</t>
        </is>
      </c>
      <c r="H27" s="11" t="inlineStr">
        <is>
          <t>未开始</t>
        </is>
      </c>
      <c r="I27" s="11" t="inlineStr"/>
      <c r="J27" s="18" t="inlineStr">
        <is>
          <t>V15</t>
        </is>
      </c>
      <c r="K27" s="11" t="inlineStr"/>
    </row>
    <row r="28" ht="36" customHeight="1">
      <c r="A28" s="15" t="inlineStr">
        <is>
          <t>S01</t>
        </is>
      </c>
      <c r="B28" s="15" t="inlineStr">
        <is>
          <t>故事</t>
        </is>
      </c>
      <c r="C28" s="15" t="inlineStr">
        <is>
          <t>开场画面 / 标题</t>
        </is>
      </c>
      <c r="D28" s="15" t="inlineStr">
        <is>
          <t>通用</t>
        </is>
      </c>
      <c r="E28" s="15" t="inlineStr">
        <is>
          <t>无碰撞装饰</t>
        </is>
      </c>
      <c r="F28" s="15" t="inlineStr">
        <is>
          <t>宣传片片头和游戏重心（背景故事）</t>
        </is>
      </c>
      <c r="G28" s="15" t="inlineStr">
        <is>
          <t>P1</t>
        </is>
      </c>
      <c r="H28" s="11" t="inlineStr">
        <is>
          <t>未开始</t>
        </is>
      </c>
      <c r="I28" s="11" t="inlineStr"/>
      <c r="J28" s="16" t="inlineStr">
        <is>
          <t>V14 V20</t>
        </is>
      </c>
      <c r="K28" s="11" t="inlineStr"/>
    </row>
    <row r="29" ht="36" customHeight="1">
      <c r="A29" s="17" t="inlineStr">
        <is>
          <t>S02</t>
        </is>
      </c>
      <c r="B29" s="17" t="inlineStr">
        <is>
          <t>故事</t>
        </is>
      </c>
      <c r="C29" s="17" t="inlineStr">
        <is>
          <t>季节切换过场</t>
        </is>
      </c>
      <c r="D29" s="17" t="inlineStr">
        <is>
          <t>四季</t>
        </is>
      </c>
      <c r="E29" s="17" t="inlineStr">
        <is>
          <t>无碰撞装饰</t>
        </is>
      </c>
      <c r="F29" s="17" t="inlineStr">
        <is>
          <t>短文案或静帧，说明「时间在走」</t>
        </is>
      </c>
      <c r="G29" s="17" t="inlineStr">
        <is>
          <t>P2</t>
        </is>
      </c>
      <c r="H29" s="11" t="inlineStr">
        <is>
          <t>未开始</t>
        </is>
      </c>
      <c r="I29" s="11" t="inlineStr"/>
      <c r="J29" s="18" t="inlineStr">
        <is>
          <t>V10 V14</t>
        </is>
      </c>
      <c r="K29" s="11" t="inlineStr"/>
    </row>
    <row r="30" ht="36" customHeight="1">
      <c r="A30" s="17" t="inlineStr">
        <is>
          <t>S03</t>
        </is>
      </c>
      <c r="B30" s="17" t="inlineStr">
        <is>
          <t>故事</t>
        </is>
      </c>
      <c r="C30" s="17" t="inlineStr">
        <is>
          <t>节日事件卡</t>
        </is>
      </c>
      <c r="D30" s="17" t="inlineStr">
        <is>
          <t>节日待填</t>
        </is>
      </c>
      <c r="E30" s="17" t="inlineStr">
        <is>
          <t>无碰撞装饰</t>
        </is>
      </c>
      <c r="F30" s="17" t="inlineStr">
        <is>
          <t>每个节日一行文案；皮肤用 O10 / O05</t>
        </is>
      </c>
      <c r="G30" s="17" t="inlineStr">
        <is>
          <t>P2</t>
        </is>
      </c>
      <c r="H30" s="11" t="inlineStr">
        <is>
          <t>未开始</t>
        </is>
      </c>
      <c r="I30" s="11" t="inlineStr"/>
      <c r="J30" s="18" t="inlineStr">
        <is>
          <t>V13 V14</t>
        </is>
      </c>
      <c r="K30" s="11" t="inlineStr"/>
    </row>
    <row r="31" ht="36" customHeight="1">
      <c r="A31" s="17" t="inlineStr">
        <is>
          <t>U01</t>
        </is>
      </c>
      <c r="B31" s="17" t="inlineStr">
        <is>
          <t>音效</t>
        </is>
      </c>
      <c r="C31" s="17" t="inlineStr">
        <is>
          <t>扇翅 / 得分 / 撞树</t>
        </is>
      </c>
      <c r="D31" s="17" t="inlineStr">
        <is>
          <t>通用</t>
        </is>
      </c>
      <c r="E31" s="17" t="inlineStr">
        <is>
          <t>无碰撞装饰</t>
        </is>
      </c>
      <c r="F31" s="17" t="inlineStr">
        <is>
          <t>有空再加；宣传片可后期配乐代替</t>
        </is>
      </c>
      <c r="G31" s="17" t="inlineStr">
        <is>
          <t>P2</t>
        </is>
      </c>
      <c r="H31" s="11" t="inlineStr">
        <is>
          <t>暂缓</t>
        </is>
      </c>
      <c r="I31" s="11" t="inlineStr"/>
      <c r="J31" s="18" t="inlineStr">
        <is>
          <t>V20</t>
        </is>
      </c>
      <c r="K31" s="11" t="inlineStr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11" t="n"/>
      <c r="I32" s="11" t="n"/>
      <c r="J32" s="19" t="n"/>
      <c r="K32" s="11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11" t="n"/>
      <c r="I33" s="11" t="n"/>
      <c r="J33" s="19" t="n"/>
      <c r="K33" s="11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11" t="n"/>
      <c r="I34" s="11" t="n"/>
      <c r="J34" s="19" t="n"/>
      <c r="K34" s="11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11" t="n"/>
      <c r="I35" s="11" t="n"/>
      <c r="J35" s="19" t="n"/>
      <c r="K35" s="11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11" t="n"/>
      <c r="I36" s="11" t="n"/>
      <c r="J36" s="19" t="n"/>
      <c r="K36" s="11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11" t="n"/>
      <c r="I37" s="11" t="n"/>
      <c r="J37" s="19" t="n"/>
      <c r="K37" s="11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11" t="n"/>
      <c r="I38" s="11" t="n"/>
      <c r="J38" s="19" t="n"/>
      <c r="K38" s="11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11" t="n"/>
      <c r="I39" s="11" t="n"/>
      <c r="J39" s="19" t="n"/>
      <c r="K39" s="11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11" t="n"/>
      <c r="I40" s="11" t="n"/>
      <c r="J40" s="19" t="n"/>
      <c r="K40" s="11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11" t="n"/>
      <c r="I41" s="11" t="n"/>
      <c r="J41" s="19" t="n"/>
      <c r="K41" s="11" t="n"/>
    </row>
    <row r="42" ht="20" customHeight="1">
      <c r="A42" s="6" t="n"/>
      <c r="B42" s="6" t="n"/>
      <c r="C42" s="6" t="n"/>
      <c r="D42" s="6" t="n"/>
      <c r="E42" s="6" t="n"/>
      <c r="F42" s="6" t="n"/>
      <c r="G42" s="6" t="n"/>
      <c r="H42" s="11" t="n"/>
      <c r="I42" s="11" t="n"/>
      <c r="J42" s="19" t="n"/>
      <c r="K42" s="11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11" t="n"/>
      <c r="I43" s="11" t="n"/>
      <c r="J43" s="19" t="n"/>
      <c r="K43" s="11" t="n"/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11" t="n"/>
      <c r="I44" s="11" t="n"/>
      <c r="J44" s="19" t="n"/>
      <c r="K44" s="11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11" t="n"/>
      <c r="I45" s="11" t="n"/>
      <c r="J45" s="19" t="n"/>
      <c r="K45" s="11" t="n"/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11" t="n"/>
      <c r="I46" s="11" t="n"/>
      <c r="J46" s="19" t="n"/>
      <c r="K46" s="11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11" t="n"/>
      <c r="I47" s="11" t="n"/>
      <c r="J47" s="19" t="n"/>
      <c r="K47" s="11" t="n"/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11" t="n"/>
      <c r="I48" s="11" t="n"/>
      <c r="J48" s="19" t="n"/>
      <c r="K48" s="11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11" t="n"/>
      <c r="I49" s="11" t="n"/>
      <c r="J49" s="19" t="n"/>
      <c r="K49" s="11" t="n"/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11" t="n"/>
      <c r="I50" s="11" t="n"/>
      <c r="J50" s="19" t="n"/>
      <c r="K50" s="11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11" t="n"/>
      <c r="I51" s="11" t="n"/>
      <c r="J51" s="19" t="n"/>
      <c r="K51" s="11" t="n"/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11" t="n"/>
      <c r="I52" s="11" t="n"/>
      <c r="J52" s="19" t="n"/>
      <c r="K52" s="11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11" t="n"/>
      <c r="I53" s="11" t="n"/>
      <c r="J53" s="19" t="n"/>
      <c r="K53" s="11" t="n"/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11" t="n"/>
      <c r="I54" s="11" t="n"/>
      <c r="J54" s="19" t="n"/>
      <c r="K54" s="11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11" t="n"/>
      <c r="I55" s="11" t="n"/>
      <c r="J55" s="19" t="n"/>
      <c r="K55" s="11" t="n"/>
    </row>
    <row r="56" ht="20" customHeight="1">
      <c r="A56" s="6" t="n"/>
      <c r="B56" s="6" t="n"/>
      <c r="C56" s="6" t="n"/>
      <c r="D56" s="6" t="n"/>
      <c r="E56" s="6" t="n"/>
      <c r="F56" s="6" t="n"/>
      <c r="G56" s="6" t="n"/>
      <c r="H56" s="11" t="n"/>
      <c r="I56" s="11" t="n"/>
      <c r="J56" s="19" t="n"/>
      <c r="K56" s="11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11" t="n"/>
      <c r="I57" s="11" t="n"/>
      <c r="J57" s="19" t="n"/>
      <c r="K57" s="11" t="n"/>
    </row>
    <row r="58" ht="20" customHeight="1">
      <c r="A58" s="6" t="n"/>
      <c r="B58" s="6" t="n"/>
      <c r="C58" s="6" t="n"/>
      <c r="D58" s="6" t="n"/>
      <c r="E58" s="6" t="n"/>
      <c r="F58" s="6" t="n"/>
      <c r="G58" s="6" t="n"/>
      <c r="H58" s="11" t="n"/>
      <c r="I58" s="11" t="n"/>
      <c r="J58" s="19" t="n"/>
      <c r="K58" s="11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11" t="n"/>
      <c r="I59" s="11" t="n"/>
      <c r="J59" s="19" t="n"/>
      <c r="K59" s="11" t="n"/>
    </row>
    <row r="60" ht="20" customHeight="1">
      <c r="A60" s="6" t="n"/>
      <c r="B60" s="6" t="n"/>
      <c r="C60" s="6" t="n"/>
      <c r="D60" s="6" t="n"/>
      <c r="E60" s="6" t="n"/>
      <c r="F60" s="6" t="n"/>
      <c r="G60" s="6" t="n"/>
      <c r="H60" s="11" t="n"/>
      <c r="I60" s="11" t="n"/>
      <c r="J60" s="19" t="n"/>
      <c r="K60" s="11" t="n"/>
    </row>
    <row r="61" ht="20" customHeight="1">
      <c r="A61" s="6" t="n"/>
      <c r="B61" s="6" t="n"/>
      <c r="C61" s="6" t="n"/>
      <c r="D61" s="6" t="n"/>
      <c r="E61" s="6" t="n"/>
      <c r="F61" s="6" t="n"/>
      <c r="G61" s="6" t="n"/>
      <c r="H61" s="11" t="n"/>
      <c r="I61" s="11" t="n"/>
      <c r="J61" s="19" t="n"/>
      <c r="K61" s="11" t="n"/>
    </row>
    <row r="62" ht="20" customHeight="1">
      <c r="A62" s="6" t="n"/>
      <c r="B62" s="6" t="n"/>
      <c r="C62" s="6" t="n"/>
      <c r="D62" s="6" t="n"/>
      <c r="E62" s="6" t="n"/>
      <c r="F62" s="6" t="n"/>
      <c r="G62" s="6" t="n"/>
      <c r="H62" s="11" t="n"/>
      <c r="I62" s="11" t="n"/>
      <c r="J62" s="19" t="n"/>
      <c r="K62" s="11" t="n"/>
    </row>
    <row r="63" ht="20" customHeight="1">
      <c r="A63" s="6" t="n"/>
      <c r="B63" s="6" t="n"/>
      <c r="C63" s="6" t="n"/>
      <c r="D63" s="6" t="n"/>
      <c r="E63" s="6" t="n"/>
      <c r="F63" s="6" t="n"/>
      <c r="G63" s="6" t="n"/>
      <c r="H63" s="11" t="n"/>
      <c r="I63" s="11" t="n"/>
      <c r="J63" s="19" t="n"/>
      <c r="K63" s="11" t="n"/>
    </row>
    <row r="64" ht="20" customHeight="1">
      <c r="A64" s="6" t="n"/>
      <c r="B64" s="6" t="n"/>
      <c r="C64" s="6" t="n"/>
      <c r="D64" s="6" t="n"/>
      <c r="E64" s="6" t="n"/>
      <c r="F64" s="6" t="n"/>
      <c r="G64" s="6" t="n"/>
      <c r="H64" s="11" t="n"/>
      <c r="I64" s="11" t="n"/>
      <c r="J64" s="19" t="n"/>
      <c r="K64" s="11" t="n"/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11" t="n"/>
      <c r="I65" s="11" t="n"/>
      <c r="J65" s="19" t="n"/>
      <c r="K65" s="11" t="n"/>
    </row>
    <row r="66" ht="20" customHeight="1">
      <c r="A66" s="6" t="n"/>
      <c r="B66" s="6" t="n"/>
      <c r="C66" s="6" t="n"/>
      <c r="D66" s="6" t="n"/>
      <c r="E66" s="6" t="n"/>
      <c r="F66" s="6" t="n"/>
      <c r="G66" s="6" t="n"/>
      <c r="H66" s="11" t="n"/>
      <c r="I66" s="11" t="n"/>
      <c r="J66" s="19" t="n"/>
      <c r="K66" s="11" t="n"/>
    </row>
    <row r="67" ht="20" customHeight="1">
      <c r="A67" s="6" t="n"/>
      <c r="B67" s="6" t="n"/>
      <c r="C67" s="6" t="n"/>
      <c r="D67" s="6" t="n"/>
      <c r="E67" s="6" t="n"/>
      <c r="F67" s="6" t="n"/>
      <c r="G67" s="6" t="n"/>
      <c r="H67" s="11" t="n"/>
      <c r="I67" s="11" t="n"/>
      <c r="J67" s="19" t="n"/>
      <c r="K67" s="11" t="n"/>
    </row>
    <row r="68" ht="20" customHeight="1">
      <c r="A68" s="6" t="n"/>
      <c r="B68" s="6" t="n"/>
      <c r="C68" s="6" t="n"/>
      <c r="D68" s="6" t="n"/>
      <c r="E68" s="6" t="n"/>
      <c r="F68" s="6" t="n"/>
      <c r="G68" s="6" t="n"/>
      <c r="H68" s="11" t="n"/>
      <c r="I68" s="11" t="n"/>
      <c r="J68" s="19" t="n"/>
      <c r="K68" s="11" t="n"/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11" t="n"/>
      <c r="I69" s="11" t="n"/>
      <c r="J69" s="19" t="n"/>
      <c r="K69" s="11" t="n"/>
    </row>
    <row r="70" ht="20" customHeight="1">
      <c r="A70" s="6" t="n"/>
      <c r="B70" s="6" t="n"/>
      <c r="C70" s="6" t="n"/>
      <c r="D70" s="6" t="n"/>
      <c r="E70" s="6" t="n"/>
      <c r="F70" s="6" t="n"/>
      <c r="G70" s="6" t="n"/>
      <c r="H70" s="11" t="n"/>
      <c r="I70" s="11" t="n"/>
      <c r="J70" s="19" t="n"/>
      <c r="K70" s="11" t="n"/>
    </row>
    <row r="71" ht="20" customHeight="1">
      <c r="A71" s="6" t="n"/>
      <c r="B71" s="6" t="n"/>
      <c r="C71" s="6" t="n"/>
      <c r="D71" s="6" t="n"/>
      <c r="E71" s="6" t="n"/>
      <c r="F71" s="6" t="n"/>
      <c r="G71" s="6" t="n"/>
      <c r="H71" s="11" t="n"/>
      <c r="I71" s="11" t="n"/>
      <c r="J71" s="19" t="n"/>
      <c r="K71" s="11" t="n"/>
    </row>
    <row r="72" ht="20" customHeight="1">
      <c r="A72" s="6" t="n"/>
      <c r="B72" s="6" t="n"/>
      <c r="C72" s="6" t="n"/>
      <c r="D72" s="6" t="n"/>
      <c r="E72" s="6" t="n"/>
      <c r="F72" s="6" t="n"/>
      <c r="G72" s="6" t="n"/>
      <c r="H72" s="11" t="n"/>
      <c r="I72" s="11" t="n"/>
      <c r="J72" s="19" t="n"/>
      <c r="K72" s="11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11" t="n"/>
      <c r="I73" s="11" t="n"/>
      <c r="J73" s="19" t="n"/>
      <c r="K73" s="11" t="n"/>
    </row>
    <row r="74" ht="20" customHeight="1">
      <c r="A74" s="6" t="n"/>
      <c r="B74" s="6" t="n"/>
      <c r="C74" s="6" t="n"/>
      <c r="D74" s="6" t="n"/>
      <c r="E74" s="6" t="n"/>
      <c r="F74" s="6" t="n"/>
      <c r="G74" s="6" t="n"/>
      <c r="H74" s="11" t="n"/>
      <c r="I74" s="11" t="n"/>
      <c r="J74" s="19" t="n"/>
      <c r="K74" s="11" t="n"/>
    </row>
    <row r="75" ht="20" customHeight="1">
      <c r="A75" s="6" t="n"/>
      <c r="B75" s="6" t="n"/>
      <c r="C75" s="6" t="n"/>
      <c r="D75" s="6" t="n"/>
      <c r="E75" s="6" t="n"/>
      <c r="F75" s="6" t="n"/>
      <c r="G75" s="6" t="n"/>
      <c r="H75" s="11" t="n"/>
      <c r="I75" s="11" t="n"/>
      <c r="J75" s="19" t="n"/>
      <c r="K75" s="11" t="n"/>
    </row>
    <row r="76" ht="20" customHeight="1">
      <c r="A76" s="6" t="n"/>
      <c r="B76" s="6" t="n"/>
      <c r="C76" s="6" t="n"/>
      <c r="D76" s="6" t="n"/>
      <c r="E76" s="6" t="n"/>
      <c r="F76" s="6" t="n"/>
      <c r="G76" s="6" t="n"/>
      <c r="H76" s="11" t="n"/>
      <c r="I76" s="11" t="n"/>
      <c r="J76" s="19" t="n"/>
      <c r="K76" s="11" t="n"/>
    </row>
    <row r="77" ht="20" customHeight="1">
      <c r="A77" s="6" t="n"/>
      <c r="B77" s="6" t="n"/>
      <c r="C77" s="6" t="n"/>
      <c r="D77" s="6" t="n"/>
      <c r="E77" s="6" t="n"/>
      <c r="F77" s="6" t="n"/>
      <c r="G77" s="6" t="n"/>
      <c r="H77" s="11" t="n"/>
      <c r="I77" s="11" t="n"/>
      <c r="J77" s="19" t="n"/>
      <c r="K77" s="11" t="n"/>
    </row>
    <row r="78" ht="20" customHeight="1">
      <c r="A78" s="6" t="n"/>
      <c r="B78" s="6" t="n"/>
      <c r="C78" s="6" t="n"/>
      <c r="D78" s="6" t="n"/>
      <c r="E78" s="6" t="n"/>
      <c r="F78" s="6" t="n"/>
      <c r="G78" s="6" t="n"/>
      <c r="H78" s="11" t="n"/>
      <c r="I78" s="11" t="n"/>
      <c r="J78" s="19" t="n"/>
      <c r="K78" s="11" t="n"/>
    </row>
    <row r="79" ht="20" customHeight="1">
      <c r="A79" s="6" t="n"/>
      <c r="B79" s="6" t="n"/>
      <c r="C79" s="6" t="n"/>
      <c r="D79" s="6" t="n"/>
      <c r="E79" s="6" t="n"/>
      <c r="F79" s="6" t="n"/>
      <c r="G79" s="6" t="n"/>
      <c r="H79" s="11" t="n"/>
      <c r="I79" s="11" t="n"/>
      <c r="J79" s="19" t="n"/>
      <c r="K79" s="11" t="n"/>
    </row>
    <row r="80" ht="20" customHeight="1">
      <c r="A80" s="6" t="n"/>
      <c r="B80" s="6" t="n"/>
      <c r="C80" s="6" t="n"/>
      <c r="D80" s="6" t="n"/>
      <c r="E80" s="6" t="n"/>
      <c r="F80" s="6" t="n"/>
      <c r="G80" s="6" t="n"/>
      <c r="H80" s="11" t="n"/>
      <c r="I80" s="11" t="n"/>
      <c r="J80" s="19" t="n"/>
      <c r="K80" s="11" t="n"/>
    </row>
  </sheetData>
  <autoFilter ref="A1:K80"/>
  <conditionalFormatting sqref="H2:H80">
    <cfRule type="expression" priority="1" dxfId="0">
      <formula>H2="已接入"</formula>
    </cfRule>
  </conditionalFormatting>
  <dataValidations count="4">
    <dataValidation sqref="B2:B80" showDropDown="0" showInputMessage="0" showErrorMessage="1" allowBlank="0" errorTitle="类别" error="请从下拉列表选择" promptTitle="类别" prompt="从列表选择" type="list">
      <formula1>"角色,障碍,背景,HUD,道具,故事,装饰,音效"</formula1>
    </dataValidation>
    <dataValidation sqref="E2:E80" showDropDown="0" showInputMessage="0" showErrorMessage="1" allowBlank="0" errorTitle="碰撞形状" error="请从下拉列表选择" promptTitle="碰撞形状" prompt="从列表选择" type="list">
      <formula1>"矩形柱双缺口,仅下半,仅上半,三角朝上,三角朝下,无碰撞装饰,鸟矩形"</formula1>
    </dataValidation>
    <dataValidation sqref="G2:G80" showDropDown="0" showInputMessage="0" showErrorMessage="1" allowBlank="0" errorTitle="优先级" error="请从下拉列表选择" promptTitle="优先级" prompt="从列表选择" type="list">
      <formula1>"P0,P1,P2"</formula1>
    </dataValidation>
    <dataValidation sqref="H2:H80" showDropDown="0" showInputMessage="0" showErrorMessage="1" allowBlank="0" errorTitle="素材状态" error="请从下拉列表选择" promptTitle="素材状态" prompt="从列表选择" type="list">
      <formula1>"未开始,草稿,已有贴图,已接入,暂缓"</formula1>
    </dataValidation>
  </dataValidations>
  <pageMargins left="0.75" right="0.75" top="1" bottom="1" header="0.5" footer="0.5"/>
  <pageSetup orientation="landscape" fitToHeight="1" fitToWidth="1"/>
  <headerFooter>
    <oddHeader/>
    <oddFooter>&amp;L素材表 · 黄色格可填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42" customWidth="1" min="5" max="5"/>
    <col width="16" customWidth="1" min="6" max="6"/>
    <col width="12" customWidth="1" min="7" max="7"/>
    <col width="22" customWidth="1" min="8" max="8"/>
    <col width="22" customWidth="1" min="9" max="9"/>
    <col width="12" customWidth="1" min="10" max="10"/>
    <col width="22" customWidth="1" min="11" max="11"/>
    <col width="14" customWidth="1" min="12" max="12"/>
    <col width="24" customWidth="1" min="13" max="13"/>
  </cols>
  <sheetData>
    <row r="1" ht="28" customHeight="1">
      <c r="A1" s="4" t="inlineStr">
        <is>
          <t>镜号</t>
        </is>
      </c>
      <c r="B1" s="4" t="inlineStr">
        <is>
          <t>用途</t>
        </is>
      </c>
      <c r="C1" s="4" t="inlineStr">
        <is>
          <t>优先级</t>
        </is>
      </c>
      <c r="D1" s="4" t="inlineStr">
        <is>
          <t>展示功能</t>
        </is>
      </c>
      <c r="E1" s="4" t="inlineStr">
        <is>
          <t>画面内容（拍什么）</t>
        </is>
      </c>
      <c r="F1" s="4" t="inlineStr">
        <is>
          <t>机位</t>
        </is>
      </c>
      <c r="G1" s="4" t="inlineStr">
        <is>
          <t>建议秒数</t>
        </is>
      </c>
      <c r="H1" s="4" t="inlineStr">
        <is>
          <t>需要素材编号</t>
        </is>
      </c>
      <c r="I1" s="4" t="inlineStr">
        <is>
          <t>依赖功能</t>
        </is>
      </c>
      <c r="J1" s="4" t="inlineStr">
        <is>
          <t>状态</t>
        </is>
      </c>
      <c r="K1" s="4" t="inlineStr">
        <is>
          <t>存档文件名</t>
        </is>
      </c>
      <c r="L1" s="4" t="inlineStr">
        <is>
          <t>拍摄日期</t>
        </is>
      </c>
      <c r="M1" s="4" t="inlineStr">
        <is>
          <t>备注</t>
        </is>
      </c>
    </row>
    <row r="2" ht="40" customHeight="1">
      <c r="A2" s="13" t="inlineStr">
        <is>
          <t>V01</t>
        </is>
      </c>
      <c r="B2" s="13" t="inlineStr">
        <is>
          <t>作业提交</t>
        </is>
      </c>
      <c r="C2" s="13" t="inlineStr">
        <is>
          <t>P0</t>
        </is>
      </c>
      <c r="D2" s="13" t="inlineStr">
        <is>
          <t>整机硬件</t>
        </is>
      </c>
      <c r="E2" s="13" t="inlineStr">
        <is>
          <t>Pi 5 + Mini PiTFT + 两颗按钮，能看清接线/屏幕朝向</t>
        </is>
      </c>
      <c r="F2" s="13" t="inlineStr">
        <is>
          <t>整机斜 45°</t>
        </is>
      </c>
      <c r="G2" s="20" t="n">
        <v>5</v>
      </c>
      <c r="H2" s="13" t="inlineStr">
        <is>
          <t>—</t>
        </is>
      </c>
      <c r="I2" s="13" t="inlineStr">
        <is>
          <t>hardware 后端（非 desktop）</t>
        </is>
      </c>
      <c r="J2" s="11" t="inlineStr">
        <is>
          <t>未拍</t>
        </is>
      </c>
      <c r="K2" s="11" t="inlineStr"/>
      <c r="L2" s="11" t="inlineStr"/>
      <c r="M2" s="11" t="inlineStr"/>
    </row>
    <row r="3" ht="40" customHeight="1">
      <c r="A3" s="13" t="inlineStr">
        <is>
          <t>V02</t>
        </is>
      </c>
      <c r="B3" s="13" t="inlineStr">
        <is>
          <t>作业提交</t>
        </is>
      </c>
      <c r="C3" s="13" t="inlineStr">
        <is>
          <t>P0</t>
        </is>
      </c>
      <c r="D3" s="13" t="inlineStr">
        <is>
          <t>IDLE 自动驾驶</t>
        </is>
      </c>
      <c r="E3" s="13" t="inlineStr">
        <is>
          <t>无人按键时鸟自己穿缺口，HUD 显示 IDLE</t>
        </is>
      </c>
      <c r="F3" s="13" t="inlineStr">
        <is>
          <t>屏幕特写</t>
        </is>
      </c>
      <c r="G3" s="20" t="n">
        <v>8</v>
      </c>
      <c r="H3" s="13" t="inlineStr">
        <is>
          <t>A01 A02 A04</t>
        </is>
      </c>
      <c r="I3" s="13" t="inlineStr">
        <is>
          <t>auto_pilot</t>
        </is>
      </c>
      <c r="J3" s="11" t="inlineStr">
        <is>
          <t>未拍</t>
        </is>
      </c>
      <c r="K3" s="11" t="inlineStr"/>
      <c r="L3" s="11" t="inlineStr"/>
      <c r="M3" s="11" t="inlineStr"/>
    </row>
    <row r="4" ht="40" customHeight="1">
      <c r="A4" s="13" t="inlineStr">
        <is>
          <t>V03</t>
        </is>
      </c>
      <c r="B4" s="13" t="inlineStr">
        <is>
          <t>作业提交</t>
        </is>
      </c>
      <c r="C4" s="13" t="inlineStr">
        <is>
          <t>P0</t>
        </is>
      </c>
      <c r="D4" s="13" t="inlineStr">
        <is>
          <t>A 键开始</t>
        </is>
      </c>
      <c r="E4" s="13" t="inlineStr">
        <is>
          <t>按上键（GPIO 23）从 IDLE 进入游玩</t>
        </is>
      </c>
      <c r="F4" s="13" t="inlineStr">
        <is>
          <t>手部 + 屏幕</t>
        </is>
      </c>
      <c r="G4" s="20" t="n">
        <v>4</v>
      </c>
      <c r="H4" s="13" t="inlineStr">
        <is>
          <t>A04</t>
        </is>
      </c>
      <c r="I4" s="13" t="inlineStr">
        <is>
          <t>button A</t>
        </is>
      </c>
      <c r="J4" s="11" t="inlineStr">
        <is>
          <t>未拍</t>
        </is>
      </c>
      <c r="K4" s="11" t="inlineStr"/>
      <c r="L4" s="11" t="inlineStr"/>
      <c r="M4" s="11" t="inlineStr"/>
    </row>
    <row r="5" ht="40" customHeight="1">
      <c r="A5" s="13" t="inlineStr">
        <is>
          <t>V04</t>
        </is>
      </c>
      <c r="B5" s="13" t="inlineStr">
        <is>
          <t>作业提交</t>
        </is>
      </c>
      <c r="C5" s="13" t="inlineStr">
        <is>
          <t>P0</t>
        </is>
      </c>
      <c r="D5" s="13" t="inlineStr">
        <is>
          <t>按住 B 扇翅</t>
        </is>
      </c>
      <c r="E5" s="13" t="inlineStr">
        <is>
          <t>按下键（GPIO 24）上升，松开下落</t>
        </is>
      </c>
      <c r="F5" s="13" t="inlineStr">
        <is>
          <t>手部 + 屏幕</t>
        </is>
      </c>
      <c r="G5" s="20" t="n">
        <v>6</v>
      </c>
      <c r="H5" s="13" t="inlineStr">
        <is>
          <t>A01</t>
        </is>
      </c>
      <c r="I5" s="13" t="inlineStr">
        <is>
          <t>hold-to-flap</t>
        </is>
      </c>
      <c r="J5" s="11" t="inlineStr">
        <is>
          <t>未拍</t>
        </is>
      </c>
      <c r="K5" s="11" t="inlineStr"/>
      <c r="L5" s="11" t="inlineStr"/>
      <c r="M5" s="11" t="inlineStr"/>
    </row>
    <row r="6" ht="40" customHeight="1">
      <c r="A6" s="13" t="inlineStr">
        <is>
          <t>V05</t>
        </is>
      </c>
      <c r="B6" s="13" t="inlineStr">
        <is>
          <t>作业提交</t>
        </is>
      </c>
      <c r="C6" s="13" t="inlineStr">
        <is>
          <t>P0</t>
        </is>
      </c>
      <c r="D6" s="13" t="inlineStr">
        <is>
          <t>死亡再回 IDLE</t>
        </is>
      </c>
      <c r="E6" s="13" t="inlineStr">
        <is>
          <t>撞柱坠落、等待、回 IDLE 或 A 重开</t>
        </is>
      </c>
      <c r="F6" s="13" t="inlineStr">
        <is>
          <t>屏幕特写</t>
        </is>
      </c>
      <c r="G6" s="20" t="n">
        <v>10</v>
      </c>
      <c r="H6" s="13" t="inlineStr">
        <is>
          <t>A02 A05</t>
        </is>
      </c>
      <c r="I6" s="13" t="inlineStr">
        <is>
          <t>death wait</t>
        </is>
      </c>
      <c r="J6" s="11" t="inlineStr">
        <is>
          <t>未拍</t>
        </is>
      </c>
      <c r="K6" s="11" t="inlineStr"/>
      <c r="L6" s="11" t="inlineStr"/>
      <c r="M6" s="11" t="inlineStr"/>
    </row>
    <row r="7" ht="40" customHeight="1">
      <c r="A7" s="13" t="inlineStr">
        <is>
          <t>V06</t>
        </is>
      </c>
      <c r="B7" s="13" t="inlineStr">
        <is>
          <t>作业提交</t>
        </is>
      </c>
      <c r="C7" s="13" t="inlineStr">
        <is>
          <t>P0</t>
        </is>
      </c>
      <c r="D7" s="13" t="inlineStr">
        <is>
          <t>分数 / Best</t>
        </is>
      </c>
      <c r="E7" s="13" t="inlineStr">
        <is>
          <t>局内分上涨、Best 保留</t>
        </is>
      </c>
      <c r="F7" s="13" t="inlineStr">
        <is>
          <t>屏幕特写</t>
        </is>
      </c>
      <c r="G7" s="20" t="n">
        <v>4</v>
      </c>
      <c r="H7" s="13" t="inlineStr">
        <is>
          <t>A04</t>
        </is>
      </c>
      <c r="I7" s="13" t="inlineStr">
        <is>
          <t>score.py</t>
        </is>
      </c>
      <c r="J7" s="11" t="inlineStr">
        <is>
          <t>未拍</t>
        </is>
      </c>
      <c r="K7" s="11" t="inlineStr"/>
      <c r="L7" s="11" t="inlineStr"/>
      <c r="M7" s="11" t="inlineStr"/>
    </row>
    <row r="8" ht="40" customHeight="1">
      <c r="A8" s="15" t="inlineStr">
        <is>
          <t>V07</t>
        </is>
      </c>
      <c r="B8" s="15" t="inlineStr">
        <is>
          <t>备选</t>
        </is>
      </c>
      <c r="C8" s="15" t="inlineStr">
        <is>
          <t>P1</t>
        </is>
      </c>
      <c r="D8" s="15" t="inlineStr">
        <is>
          <t>桌面模拟</t>
        </is>
      </c>
      <c r="E8" s="15" t="inlineStr">
        <is>
          <t>电脑 tkinter 窗口同款画面，证明可离机调试</t>
        </is>
      </c>
      <c r="F8" s="15" t="inlineStr">
        <is>
          <t>笔记本屏幕</t>
        </is>
      </c>
      <c r="G8" s="21" t="n">
        <v>5</v>
      </c>
      <c r="H8" s="15" t="inlineStr">
        <is>
          <t>A01 A02</t>
        </is>
      </c>
      <c r="I8" s="15" t="inlineStr">
        <is>
          <t>desktop.py</t>
        </is>
      </c>
      <c r="J8" s="11" t="inlineStr">
        <is>
          <t>未拍</t>
        </is>
      </c>
      <c r="K8" s="11" t="inlineStr"/>
      <c r="L8" s="11" t="inlineStr"/>
      <c r="M8" s="11" t="inlineStr"/>
    </row>
    <row r="9" ht="40" customHeight="1">
      <c r="A9" s="15" t="inlineStr">
        <is>
          <t>V08</t>
        </is>
      </c>
      <c r="B9" s="15" t="inlineStr">
        <is>
          <t>宣传片</t>
        </is>
      </c>
      <c r="C9" s="15" t="inlineStr">
        <is>
          <t>P1</t>
        </is>
      </c>
      <c r="D9" s="15" t="inlineStr">
        <is>
          <t>竖向环绕</t>
        </is>
      </c>
      <c r="E9" s="15" t="inlineStr">
        <is>
          <t>鸟从屏顶穿到屏底（未死亡时 wrap）</t>
        </is>
      </c>
      <c r="F9" s="15" t="inlineStr">
        <is>
          <t>屏幕特写</t>
        </is>
      </c>
      <c r="G9" s="21" t="n">
        <v>5</v>
      </c>
      <c r="H9" s="15" t="inlineStr">
        <is>
          <t>A01</t>
        </is>
      </c>
      <c r="I9" s="15" t="inlineStr">
        <is>
          <t>vertical_wrap</t>
        </is>
      </c>
      <c r="J9" s="11" t="inlineStr">
        <is>
          <t>未拍</t>
        </is>
      </c>
      <c r="K9" s="11" t="inlineStr"/>
      <c r="L9" s="11" t="inlineStr"/>
      <c r="M9" s="11" t="inlineStr"/>
    </row>
    <row r="10" ht="40" customHeight="1">
      <c r="A10" s="13" t="inlineStr">
        <is>
          <t>V09</t>
        </is>
      </c>
      <c r="B10" s="13" t="inlineStr">
        <is>
          <t>作业提交</t>
        </is>
      </c>
      <c r="C10" s="13" t="inlineStr">
        <is>
          <t>P0</t>
        </is>
      </c>
      <c r="D10" s="13" t="inlineStr">
        <is>
          <t>按钮特写</t>
        </is>
      </c>
      <c r="E10" s="13" t="inlineStr">
        <is>
          <t>手指点两颗键，切到屏幕反应</t>
        </is>
      </c>
      <c r="F10" s="13" t="inlineStr">
        <is>
          <t>手部特写</t>
        </is>
      </c>
      <c r="G10" s="20" t="n">
        <v>4</v>
      </c>
      <c r="H10" s="13" t="inlineStr">
        <is>
          <t>—</t>
        </is>
      </c>
      <c r="I10" s="13" t="inlineStr">
        <is>
          <t>Pi 实物</t>
        </is>
      </c>
      <c r="J10" s="11" t="inlineStr">
        <is>
          <t>未拍</t>
        </is>
      </c>
      <c r="K10" s="11" t="inlineStr"/>
      <c r="L10" s="11" t="inlineStr"/>
      <c r="M10" s="11" t="inlineStr"/>
    </row>
    <row r="11" ht="40" customHeight="1">
      <c r="A11" s="15" t="inlineStr">
        <is>
          <t>V10</t>
        </is>
      </c>
      <c r="B11" s="15" t="inlineStr">
        <is>
          <t>宣传片</t>
        </is>
      </c>
      <c r="C11" s="15" t="inlineStr">
        <is>
          <t>P1</t>
        </is>
      </c>
      <c r="D11" s="15" t="inlineStr">
        <is>
          <t>四季换装</t>
        </is>
      </c>
      <c r="E11" s="15" t="inlineStr">
        <is>
          <t>同一套飞行，树和天空按春夏秋冬切换</t>
        </is>
      </c>
      <c r="F11" s="15" t="inlineStr">
        <is>
          <t>屏幕蒙太奇</t>
        </is>
      </c>
      <c r="G11" s="21" t="n">
        <v>10</v>
      </c>
      <c r="H11" s="15" t="inlineStr">
        <is>
          <t>B01–B04 O01–O04 B07</t>
        </is>
      </c>
      <c r="I11" s="15" t="inlineStr">
        <is>
          <t>季节皮肤</t>
        </is>
      </c>
      <c r="J11" s="11" t="inlineStr">
        <is>
          <t>未拍</t>
        </is>
      </c>
      <c r="K11" s="11" t="inlineStr"/>
      <c r="L11" s="11" t="inlineStr"/>
      <c r="M11" s="11" t="inlineStr"/>
    </row>
    <row r="12" ht="40" customHeight="1">
      <c r="A12" s="17" t="inlineStr">
        <is>
          <t>V11</t>
        </is>
      </c>
      <c r="B12" s="17" t="inlineStr">
        <is>
          <t>宣传片</t>
        </is>
      </c>
      <c r="C12" s="17" t="inlineStr">
        <is>
          <t>P2</t>
        </is>
      </c>
      <c r="D12" s="17" t="inlineStr">
        <is>
          <t>金字塔斜边</t>
        </is>
      </c>
      <c r="E12" s="17" t="inlineStr">
        <is>
          <t>鸟贴着斜面穿过，不要撞到空气矩形</t>
        </is>
      </c>
      <c r="F12" s="17" t="inlineStr">
        <is>
          <t>屏幕特写</t>
        </is>
      </c>
      <c r="G12" s="22" t="n">
        <v>6</v>
      </c>
      <c r="H12" s="17" t="inlineStr">
        <is>
          <t>O06</t>
        </is>
      </c>
      <c r="I12" s="17" t="inlineStr">
        <is>
          <t>三角朝上碰撞</t>
        </is>
      </c>
      <c r="J12" s="11" t="inlineStr">
        <is>
          <t>未拍</t>
        </is>
      </c>
      <c r="K12" s="11" t="inlineStr"/>
      <c r="L12" s="11" t="inlineStr"/>
      <c r="M12" s="11" t="inlineStr"/>
    </row>
    <row r="13" ht="40" customHeight="1">
      <c r="A13" s="17" t="inlineStr">
        <is>
          <t>V12</t>
        </is>
      </c>
      <c r="B13" s="17" t="inlineStr">
        <is>
          <t>宣传片</t>
        </is>
      </c>
      <c r="C13" s="17" t="inlineStr">
        <is>
          <t>P2</t>
        </is>
      </c>
      <c r="D13" s="17" t="inlineStr">
        <is>
          <t>半截障碍</t>
        </is>
      </c>
      <c r="E13" s="17" t="inlineStr">
        <is>
          <t>先从土坡上方飞过，再从倒挂障碍下方钻过</t>
        </is>
      </c>
      <c r="F13" s="17" t="inlineStr">
        <is>
          <t>屏幕特写</t>
        </is>
      </c>
      <c r="G13" s="22" t="n">
        <v>8</v>
      </c>
      <c r="H13" s="17" t="inlineStr">
        <is>
          <t>O07 O08</t>
        </is>
      </c>
      <c r="I13" s="17" t="inlineStr">
        <is>
          <t>仅上半 / 仅下半</t>
        </is>
      </c>
      <c r="J13" s="11" t="inlineStr">
        <is>
          <t>未拍</t>
        </is>
      </c>
      <c r="K13" s="11" t="inlineStr"/>
      <c r="L13" s="11" t="inlineStr"/>
      <c r="M13" s="11" t="inlineStr"/>
    </row>
    <row r="14" ht="40" customHeight="1">
      <c r="A14" s="17" t="inlineStr">
        <is>
          <t>V13</t>
        </is>
      </c>
      <c r="B14" s="17" t="inlineStr">
        <is>
          <t>宣传片</t>
        </is>
      </c>
      <c r="C14" s="17" t="inlineStr">
        <is>
          <t>P2</t>
        </is>
      </c>
      <c r="D14" s="17" t="inlineStr">
        <is>
          <t>节日皮肤</t>
        </is>
      </c>
      <c r="E14" s="17" t="inlineStr">
        <is>
          <t>圣诞树或待定节日树，挂饰不挡路</t>
        </is>
      </c>
      <c r="F14" s="17" t="inlineStr">
        <is>
          <t>屏幕特写</t>
        </is>
      </c>
      <c r="G14" s="22" t="n">
        <v>6</v>
      </c>
      <c r="H14" s="17" t="inlineStr">
        <is>
          <t>O05 O10 O11 S03</t>
        </is>
      </c>
      <c r="I14" s="17" t="inlineStr">
        <is>
          <t>节日皮肤</t>
        </is>
      </c>
      <c r="J14" s="11" t="inlineStr">
        <is>
          <t>未拍</t>
        </is>
      </c>
      <c r="K14" s="11" t="inlineStr"/>
      <c r="L14" s="11" t="inlineStr"/>
      <c r="M14" s="11" t="inlineStr"/>
    </row>
    <row r="15" ht="40" customHeight="1">
      <c r="A15" s="15" t="inlineStr">
        <is>
          <t>V14</t>
        </is>
      </c>
      <c r="B15" s="15" t="inlineStr">
        <is>
          <t>宣传片</t>
        </is>
      </c>
      <c r="C15" s="15" t="inlineStr">
        <is>
          <t>P1</t>
        </is>
      </c>
      <c r="D15" s="15" t="inlineStr">
        <is>
          <t>故事 / 背景</t>
        </is>
      </c>
      <c r="E15" s="15" t="inlineStr">
        <is>
          <t>开场或过场文案，说明这是一座会过日子的钟</t>
        </is>
      </c>
      <c r="F15" s="15" t="inlineStr">
        <is>
          <t>屏幕或静帧</t>
        </is>
      </c>
      <c r="G15" s="21" t="n">
        <v>6</v>
      </c>
      <c r="H15" s="15" t="inlineStr">
        <is>
          <t>S01 S02</t>
        </is>
      </c>
      <c r="I15" s="15" t="inlineStr">
        <is>
          <t>故事画面</t>
        </is>
      </c>
      <c r="J15" s="11" t="inlineStr">
        <is>
          <t>未拍</t>
        </is>
      </c>
      <c r="K15" s="11" t="inlineStr"/>
      <c r="L15" s="11" t="inlineStr"/>
      <c r="M15" s="11" t="inlineStr"/>
    </row>
    <row r="16" ht="40" customHeight="1">
      <c r="A16" s="17" t="inlineStr">
        <is>
          <t>V15</t>
        </is>
      </c>
      <c r="B16" s="17" t="inlineStr">
        <is>
          <t>宣传片</t>
        </is>
      </c>
      <c r="C16" s="17" t="inlineStr">
        <is>
          <t>P2</t>
        </is>
      </c>
      <c r="D16" s="17" t="inlineStr">
        <is>
          <t>时钟映射</t>
        </is>
      </c>
      <c r="E16" s="17" t="inlineStr">
        <is>
          <t>墙上真实时间如何变成水果计时或昼夜</t>
        </is>
      </c>
      <c r="F16" s="17" t="inlineStr">
        <is>
          <t>屏幕 + 真钟（可选）</t>
        </is>
      </c>
      <c r="G16" s="22" t="n">
        <v>6</v>
      </c>
      <c r="H16" s="17" t="inlineStr">
        <is>
          <t>B05 H01</t>
        </is>
      </c>
      <c r="I16" s="17" t="inlineStr">
        <is>
          <t>时刻规则</t>
        </is>
      </c>
      <c r="J16" s="11" t="inlineStr">
        <is>
          <t>未拍</t>
        </is>
      </c>
      <c r="K16" s="11" t="inlineStr"/>
      <c r="L16" s="11" t="inlineStr"/>
      <c r="M16" s="11" t="inlineStr"/>
    </row>
    <row r="17" ht="40" customHeight="1">
      <c r="A17" s="17" t="inlineStr">
        <is>
          <t>V16</t>
        </is>
      </c>
      <c r="B17" s="17" t="inlineStr">
        <is>
          <t>宣传片</t>
        </is>
      </c>
      <c r="C17" s="17" t="inlineStr">
        <is>
          <t>P2</t>
        </is>
      </c>
      <c r="D17" s="17" t="inlineStr">
        <is>
          <t>道具</t>
        </is>
      </c>
      <c r="E17" s="17" t="inlineStr">
        <is>
          <t>吃金币加分、无敌穿树</t>
        </is>
      </c>
      <c r="F17" s="17" t="inlineStr">
        <is>
          <t>屏幕特写</t>
        </is>
      </c>
      <c r="G17" s="22" t="n">
        <v>6</v>
      </c>
      <c r="H17" s="17" t="inlineStr">
        <is>
          <t>I01 I02</t>
        </is>
      </c>
      <c r="I17" s="17" t="inlineStr">
        <is>
          <t>items 生成</t>
        </is>
      </c>
      <c r="J17" s="11" t="inlineStr">
        <is>
          <t>未拍</t>
        </is>
      </c>
      <c r="K17" s="11" t="inlineStr"/>
      <c r="L17" s="11" t="inlineStr"/>
      <c r="M17" s="11" t="inlineStr"/>
    </row>
    <row r="18" ht="40" customHeight="1">
      <c r="A18" s="13" t="inlineStr">
        <is>
          <t>V17</t>
        </is>
      </c>
      <c r="B18" s="13" t="inlineStr">
        <is>
          <t>作业提交</t>
        </is>
      </c>
      <c r="C18" s="13" t="inlineStr">
        <is>
          <t>P0</t>
        </is>
      </c>
      <c r="D18" s="13" t="inlineStr">
        <is>
          <t>片长收束</t>
        </is>
      </c>
      <c r="E18" s="13" t="inlineStr">
        <is>
          <t>3–5 秒定格在 Best 或 IDLE，方便剪作业短视频</t>
        </is>
      </c>
      <c r="F18" s="13" t="inlineStr">
        <is>
          <t>整机</t>
        </is>
      </c>
      <c r="G18" s="20" t="n">
        <v>4</v>
      </c>
      <c r="H18" s="13" t="inlineStr">
        <is>
          <t>A04</t>
        </is>
      </c>
      <c r="I18" s="13" t="inlineStr">
        <is>
          <t>可玩版本</t>
        </is>
      </c>
      <c r="J18" s="11" t="inlineStr">
        <is>
          <t>未拍</t>
        </is>
      </c>
      <c r="K18" s="11" t="inlineStr"/>
      <c r="L18" s="11" t="inlineStr"/>
      <c r="M18" s="11" t="inlineStr"/>
    </row>
    <row r="19" ht="40" customHeight="1">
      <c r="A19" s="15" t="inlineStr">
        <is>
          <t>V20</t>
        </is>
      </c>
      <c r="B19" s="15" t="inlineStr">
        <is>
          <t>宣传片</t>
        </is>
      </c>
      <c r="C19" s="15" t="inlineStr">
        <is>
          <t>P1</t>
        </is>
      </c>
      <c r="D19" s="15" t="inlineStr">
        <is>
          <t>片头片尾</t>
        </is>
      </c>
      <c r="E19" s="15" t="inlineStr">
        <is>
          <t>标题、制作说明、AI/合作致谢（作业要求写明）</t>
        </is>
      </c>
      <c r="F19" s="15" t="inlineStr">
        <is>
          <t>后期</t>
        </is>
      </c>
      <c r="G19" s="21" t="n">
        <v>8</v>
      </c>
      <c r="H19" s="15" t="inlineStr">
        <is>
          <t>S01 U01</t>
        </is>
      </c>
      <c r="I19" s="15" t="inlineStr">
        <is>
          <t>成片剪辑</t>
        </is>
      </c>
      <c r="J19" s="11" t="inlineStr">
        <is>
          <t>未拍</t>
        </is>
      </c>
      <c r="K19" s="11" t="inlineStr"/>
      <c r="L19" s="11" t="inlineStr"/>
      <c r="M19" s="11" t="inlineStr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11" t="n"/>
      <c r="K20" s="11" t="n"/>
      <c r="L20" s="11" t="n"/>
      <c r="M20" s="11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11" t="n"/>
      <c r="K21" s="11" t="n"/>
      <c r="L21" s="11" t="n"/>
      <c r="M21" s="11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11" t="n"/>
      <c r="K22" s="11" t="n"/>
      <c r="L22" s="11" t="n"/>
      <c r="M22" s="11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11" t="n"/>
      <c r="K23" s="11" t="n"/>
      <c r="L23" s="11" t="n"/>
      <c r="M23" s="11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11" t="n"/>
      <c r="K24" s="11" t="n"/>
      <c r="L24" s="11" t="n"/>
      <c r="M24" s="11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11" t="n"/>
      <c r="K25" s="11" t="n"/>
      <c r="L25" s="11" t="n"/>
      <c r="M25" s="11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11" t="n"/>
      <c r="K26" s="11" t="n"/>
      <c r="L26" s="11" t="n"/>
      <c r="M26" s="11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11" t="n"/>
      <c r="K27" s="11" t="n"/>
      <c r="L27" s="11" t="n"/>
      <c r="M27" s="11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11" t="n"/>
      <c r="K28" s="11" t="n"/>
      <c r="L28" s="11" t="n"/>
      <c r="M28" s="11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11" t="n"/>
      <c r="K29" s="11" t="n"/>
      <c r="L29" s="11" t="n"/>
      <c r="M29" s="11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11" t="n"/>
      <c r="K30" s="11" t="n"/>
      <c r="L30" s="11" t="n"/>
      <c r="M30" s="11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11" t="n"/>
      <c r="K31" s="11" t="n"/>
      <c r="L31" s="11" t="n"/>
      <c r="M31" s="11" t="n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11" t="n"/>
      <c r="K32" s="11" t="n"/>
      <c r="L32" s="11" t="n"/>
      <c r="M32" s="11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11" t="n"/>
      <c r="K33" s="11" t="n"/>
      <c r="L33" s="11" t="n"/>
      <c r="M33" s="11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11" t="n"/>
      <c r="K34" s="11" t="n"/>
      <c r="L34" s="11" t="n"/>
      <c r="M34" s="11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11" t="n"/>
      <c r="K35" s="11" t="n"/>
      <c r="L35" s="11" t="n"/>
      <c r="M35" s="11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11" t="n"/>
      <c r="K36" s="11" t="n"/>
      <c r="L36" s="11" t="n"/>
      <c r="M36" s="11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11" t="n"/>
      <c r="K37" s="11" t="n"/>
      <c r="L37" s="11" t="n"/>
      <c r="M37" s="11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11" t="n"/>
      <c r="K38" s="11" t="n"/>
      <c r="L38" s="11" t="n"/>
      <c r="M38" s="11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11" t="n"/>
      <c r="K39" s="11" t="n"/>
      <c r="L39" s="11" t="n"/>
      <c r="M39" s="11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11" t="n"/>
      <c r="K40" s="11" t="n"/>
      <c r="L40" s="11" t="n"/>
      <c r="M40" s="11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11" t="n"/>
      <c r="K41" s="11" t="n"/>
      <c r="L41" s="11" t="n"/>
      <c r="M41" s="11" t="n"/>
    </row>
    <row r="42" ht="20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11" t="n"/>
      <c r="K42" s="11" t="n"/>
      <c r="L42" s="11" t="n"/>
      <c r="M42" s="11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11" t="n"/>
      <c r="K43" s="11" t="n"/>
      <c r="L43" s="11" t="n"/>
      <c r="M43" s="11" t="n"/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11" t="n"/>
      <c r="K44" s="11" t="n"/>
      <c r="L44" s="11" t="n"/>
      <c r="M44" s="11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11" t="n"/>
      <c r="K45" s="11" t="n"/>
      <c r="L45" s="11" t="n"/>
      <c r="M45" s="11" t="n"/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11" t="n"/>
      <c r="K46" s="11" t="n"/>
      <c r="L46" s="11" t="n"/>
      <c r="M46" s="11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11" t="n"/>
      <c r="K47" s="11" t="n"/>
      <c r="L47" s="11" t="n"/>
      <c r="M47" s="11" t="n"/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11" t="n"/>
      <c r="K48" s="11" t="n"/>
      <c r="L48" s="11" t="n"/>
      <c r="M48" s="11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11" t="n"/>
      <c r="K49" s="11" t="n"/>
      <c r="L49" s="11" t="n"/>
      <c r="M49" s="11" t="n"/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11" t="n"/>
      <c r="K50" s="11" t="n"/>
      <c r="L50" s="11" t="n"/>
      <c r="M50" s="11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11" t="n"/>
      <c r="K51" s="11" t="n"/>
      <c r="L51" s="11" t="n"/>
      <c r="M51" s="11" t="n"/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11" t="n"/>
      <c r="K52" s="11" t="n"/>
      <c r="L52" s="11" t="n"/>
      <c r="M52" s="11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11" t="n"/>
      <c r="K53" s="11" t="n"/>
      <c r="L53" s="11" t="n"/>
      <c r="M53" s="11" t="n"/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11" t="n"/>
      <c r="K54" s="11" t="n"/>
      <c r="L54" s="11" t="n"/>
      <c r="M54" s="11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11" t="n"/>
      <c r="K55" s="11" t="n"/>
      <c r="L55" s="11" t="n"/>
      <c r="M55" s="11" t="n"/>
    </row>
    <row r="56" ht="20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11" t="n"/>
      <c r="K56" s="11" t="n"/>
      <c r="L56" s="11" t="n"/>
      <c r="M56" s="11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11" t="n"/>
      <c r="K57" s="11" t="n"/>
      <c r="L57" s="11" t="n"/>
      <c r="M57" s="11" t="n"/>
    </row>
    <row r="58" ht="20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11" t="n"/>
      <c r="K58" s="11" t="n"/>
      <c r="L58" s="11" t="n"/>
      <c r="M58" s="11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11" t="n"/>
      <c r="K59" s="11" t="n"/>
      <c r="L59" s="11" t="n"/>
      <c r="M59" s="11" t="n"/>
    </row>
    <row r="60" ht="20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11" t="n"/>
      <c r="K60" s="11" t="n"/>
      <c r="L60" s="11" t="n"/>
      <c r="M60" s="11" t="n"/>
    </row>
  </sheetData>
  <autoFilter ref="A1:M60"/>
  <conditionalFormatting sqref="J2:J60">
    <cfRule type="expression" priority="1" dxfId="0">
      <formula>J2="已选用"</formula>
    </cfRule>
  </conditionalFormatting>
  <dataValidations count="3">
    <dataValidation sqref="B2:B60" showDropDown="0" showInputMessage="0" showErrorMessage="1" allowBlank="0" errorTitle="用途" error="请从下拉列表选择" promptTitle="用途" prompt="从列表选择" type="list">
      <formula1>"作业提交,宣传片,备选"</formula1>
    </dataValidation>
    <dataValidation sqref="C2:C60" showDropDown="0" showInputMessage="0" showErrorMessage="1" allowBlank="0" errorTitle="优先级" error="请从下拉列表选择" promptTitle="优先级" prompt="从列表选择" type="list">
      <formula1>"P0,P1,P2"</formula1>
    </dataValidation>
    <dataValidation sqref="J2:J60" showDropDown="0" showInputMessage="0" showErrorMessage="1" allowBlank="0" errorTitle="镜头状态" error="请从下拉列表选择" promptTitle="镜头状态" prompt="从列表选择" type="list">
      <formula1>"未拍,已拍,已选用,不需要"</formula1>
    </dataValidation>
  </dataValidations>
  <pageMargins left="0.75" right="0.75" top="1" bottom="1" header="0.5" footer="0.5"/>
  <pageSetup orientation="landscape" fitToHeight="1" fitToWidth="1"/>
  <headerFooter>
    <oddHeader/>
    <oddFooter>&amp;L宣传镜头 · 黄色格可填 · 文件名建议 V02_idle.mp4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/>
  </sheetPr>
  <dimension ref="B2:G1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28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还剩多少（公式，勿手改数字）</t>
        </is>
      </c>
    </row>
    <row r="3">
      <c r="B3" s="2" t="inlineStr">
        <is>
          <t>改「素材表」「宣传镜头」的状态列后，这里会跟着变。空白行状态为空，不计入。</t>
        </is>
      </c>
    </row>
    <row r="5" ht="32" customHeight="1">
      <c r="B5" s="4" t="inlineStr">
        <is>
          <t>项目</t>
        </is>
      </c>
      <c r="C5" s="4" t="inlineStr">
        <is>
          <t>未开始或未拍</t>
        </is>
      </c>
      <c r="D5" s="4" t="inlineStr">
        <is>
          <t>进行中 / 已拍</t>
        </is>
      </c>
      <c r="E5" s="4" t="inlineStr">
        <is>
          <t>完成（已接入或已选用）</t>
        </is>
      </c>
      <c r="F5" s="4" t="inlineStr">
        <is>
          <t>暂缓或不需要</t>
        </is>
      </c>
      <c r="G5" s="4" t="inlineStr">
        <is>
          <t>合计有编号的行</t>
        </is>
      </c>
    </row>
    <row r="6" ht="22" customHeight="1">
      <c r="B6" s="9" t="inlineStr">
        <is>
          <t>素材</t>
        </is>
      </c>
      <c r="C6" s="23">
        <f>COUNTIF(素材表!H:H,"未开始")</f>
        <v/>
      </c>
      <c r="D6" s="23">
        <f>COUNTIF(素材表!H:H,"草稿")+COUNTIF(素材表!H:H,"已有贴图")</f>
        <v/>
      </c>
      <c r="E6" s="23">
        <f>COUNTIF(素材表!H:H,"已接入")</f>
        <v/>
      </c>
      <c r="F6" s="23">
        <f>COUNTIF(素材表!H:H,"暂缓")</f>
        <v/>
      </c>
      <c r="G6" s="23">
        <f>COUNTA(素材表!A:A)-1</f>
        <v/>
      </c>
    </row>
    <row r="7" ht="22" customHeight="1">
      <c r="B7" s="5" t="inlineStr">
        <is>
          <t>镜头</t>
        </is>
      </c>
      <c r="C7" s="24">
        <f>COUNTIF(宣传镜头!J:J,"未拍")</f>
        <v/>
      </c>
      <c r="D7" s="24">
        <f>COUNTIF(宣传镜头!J:J,"已拍")</f>
        <v/>
      </c>
      <c r="E7" s="24">
        <f>COUNTIF(宣传镜头!J:J,"已选用")</f>
        <v/>
      </c>
      <c r="F7" s="24">
        <f>COUNTIF(宣传镜头!J:J,"不需要")</f>
        <v/>
      </c>
      <c r="G7" s="24">
        <f>COUNTA(宣传镜头!A:A)-1</f>
        <v/>
      </c>
    </row>
    <row r="8" ht="22" customHeight="1">
      <c r="B8" s="9" t="inlineStr">
        <is>
          <t>作业提交镜头（未拍）</t>
        </is>
      </c>
      <c r="C8" s="23">
        <f>COUNTIFS(宣传镜头!B:B,"作业提交",宣传镜头!J:J,"未拍")</f>
        <v/>
      </c>
      <c r="D8" s="23">
        <f>COUNTIFS(宣传镜头!B:B,"作业提交",宣传镜头!J:J,"已拍")</f>
        <v/>
      </c>
      <c r="E8" s="23">
        <f>COUNTIFS(宣传镜头!B:B,"作业提交",宣传镜头!J:J,"已选用")</f>
        <v/>
      </c>
      <c r="F8" s="23">
        <f>COUNTIFS(宣传镜头!B:B,"作业提交",宣传镜头!J:J,"不需要")</f>
        <v/>
      </c>
      <c r="G8" s="23">
        <f>COUNTIF(宣传镜头!B:B,"作业提交")</f>
        <v/>
      </c>
    </row>
    <row r="9" ht="22" customHeight="1">
      <c r="B9" s="5" t="inlineStr">
        <is>
          <t>P0 素材未接入</t>
        </is>
      </c>
      <c r="C9" s="24">
        <f>COUNTIFS(素材表!G:G,"P0",素材表!H:H,"未开始")</f>
        <v/>
      </c>
      <c r="D9" s="24">
        <f>COUNTIFS(素材表!G:G,"P0",素材表!H:H,"草稿")+COUNTIFS(素材表!G:G,"P0",素材表!H:H,"已有贴图")</f>
        <v/>
      </c>
      <c r="E9" s="24">
        <f>COUNTIFS(素材表!G:G,"P0",素材表!H:H,"已接入")</f>
        <v/>
      </c>
      <c r="F9" s="24">
        <f>COUNTIFS(素材表!G:G,"P0",素材表!H:H,"暂缓")</f>
        <v/>
      </c>
      <c r="G9" s="24">
        <f>COUNTIF(素材表!G:G,"P0")</f>
        <v/>
      </c>
    </row>
    <row r="10" ht="22" customHeight="1">
      <c r="B10" s="9" t="inlineStr">
        <is>
          <t>P1 美术 / 故事</t>
        </is>
      </c>
      <c r="C10" s="23">
        <f>COUNTIFS(素材表!G:G,"P1",素材表!H:H,"未开始")</f>
        <v/>
      </c>
      <c r="D10" s="23">
        <f>COUNTIFS(素材表!G:G,"P1",素材表!H:H,"草稿")+COUNTIFS(素材表!G:G,"P1",素材表!H:H,"已有贴图")</f>
        <v/>
      </c>
      <c r="E10" s="23">
        <f>COUNTIFS(素材表!G:G,"P1",素材表!H:H,"已接入")</f>
        <v/>
      </c>
      <c r="F10" s="23">
        <f>COUNTIFS(素材表!G:G,"P1",素材表!H:H,"暂缓")</f>
        <v/>
      </c>
      <c r="G10" s="23">
        <f>COUNTIF(素材表!G:G,"P1")</f>
        <v/>
      </c>
    </row>
    <row r="11" ht="22" customHeight="1">
      <c r="B11" s="5" t="inlineStr">
        <is>
          <t>P2 节日 / 斜边 / 道具</t>
        </is>
      </c>
      <c r="C11" s="24">
        <f>COUNTIFS(素材表!G:G,"P2",素材表!H:H,"未开始")</f>
        <v/>
      </c>
      <c r="D11" s="24">
        <f>COUNTIFS(素材表!G:G,"P2",素材表!H:H,"草稿")+COUNTIFS(素材表!G:G,"P2",素材表!H:H,"已有贴图")</f>
        <v/>
      </c>
      <c r="E11" s="24">
        <f>COUNTIFS(素材表!G:G,"P2",素材表!H:H,"已接入")</f>
        <v/>
      </c>
      <c r="F11" s="24">
        <f>COUNTIFS(素材表!G:G,"P2",素材表!H:H,"暂缓")</f>
        <v/>
      </c>
      <c r="G11" s="24">
        <f>COUNTIF(素材表!G:G,"P2")</f>
        <v/>
      </c>
    </row>
    <row r="13">
      <c r="B13" s="3" t="inlineStr">
        <is>
          <t>赶工看这两格</t>
        </is>
      </c>
    </row>
    <row r="14" ht="22" customHeight="1">
      <c r="B14" s="25" t="inlineStr">
        <is>
          <t>作业短视频还没拍完的镜数</t>
        </is>
      </c>
      <c r="C14" s="26">
        <f>C8+D8</f>
        <v/>
      </c>
    </row>
    <row r="15" ht="22" customHeight="1">
      <c r="B15" s="25" t="inlineStr">
        <is>
          <t>P0 以外还没接入的素材（P1+P2 的未开始+进行中）</t>
        </is>
      </c>
      <c r="C15" s="26">
        <f>C10+D10+C11+D11</f>
        <v/>
      </c>
    </row>
    <row r="17">
      <c r="B17" s="3" t="inlineStr">
        <is>
          <t>COUNTA 会计入空行吗？</t>
        </is>
      </c>
    </row>
    <row r="18">
      <c r="B18" s="27" t="inlineStr">
        <is>
          <t>「合计有编号的行」用 COUNTA(编号列)，空行没有编号，不计入。状态计数只看填了状态的单元格。底部空行请保持编号为空，直到你真正新增一条素材或镜头。作业短视频还没拍完 = 作业提交里状态为「未拍」+「已拍」（已拍未选用也算还要处理）。</t>
        </is>
      </c>
    </row>
    <row r="19"/>
  </sheetData>
  <mergeCells count="3">
    <mergeCell ref="B3:E3"/>
    <mergeCell ref="B2:E2"/>
    <mergeCell ref="B18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bird_clock tracker</dc:creator>
  <dc:title xmlns:dc="http://purl.org/dc/elements/1.1/">鸟钟素材与宣传镜头清单</dc:title>
  <dcterms:created xmlns:dcterms="http://purl.org/dc/terms/" xmlns:xsi="http://www.w3.org/2001/XMLSchema-instance" xsi:type="dcterms:W3CDTF">2026-09-17T01:53:39Z</dcterms:created>
  <dcterms:modified xmlns:dcterms="http://purl.org/dc/terms/" xmlns:xsi="http://www.w3.org/2001/XMLSchema-instance" xsi:type="dcterms:W3CDTF">2026-09-17T01:54:23Z</dcterms:modified>
</cp:coreProperties>
</file>