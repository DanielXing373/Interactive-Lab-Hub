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故事线" sheetId="2" state="visible" r:id="rId2"/>
    <sheet xmlns:r="http://schemas.openxmlformats.org/officeDocument/2006/relationships" name="画布规格" sheetId="3" state="visible" r:id="rId3"/>
    <sheet xmlns:r="http://schemas.openxmlformats.org/officeDocument/2006/relationships" name="素材表" sheetId="4" state="visible" r:id="rId4"/>
    <sheet xmlns:r="http://schemas.openxmlformats.org/officeDocument/2006/relationships" name="宣传镜头" sheetId="5" state="visible" r:id="rId5"/>
    <sheet xmlns:r="http://schemas.openxmlformats.org/officeDocument/2006/relationships" name="功能清单" sheetId="6" state="visible" r:id="rId6"/>
    <sheet xmlns:r="http://schemas.openxmlformats.org/officeDocument/2006/relationships" name="进度" sheetId="7" state="visible" r:id="rId7"/>
  </sheets>
  <definedNames>
    <definedName name="_xlnm.Print_Titles" localSheetId="0">'说明'!$1:$3</definedName>
    <definedName name="_xlnm._FilterDatabase" localSheetId="1" hidden="1">'故事线'!$A$1:$I$30</definedName>
    <definedName name="_xlnm.Print_Titles" localSheetId="1">'故事线'!$1:$1</definedName>
    <definedName name="_xlnm._FilterDatabase" localSheetId="3" hidden="1">'素材表'!$A$1:$K$95</definedName>
    <definedName name="_xlnm.Print_Titles" localSheetId="3">'素材表'!$1:$1</definedName>
    <definedName name="_xlnm._FilterDatabase" localSheetId="4" hidden="1">'宣传镜头'!$A$1:$N$44</definedName>
    <definedName name="_xlnm.Print_Titles" localSheetId="4">'宣传镜头'!$1:$1</definedName>
    <definedName name="_xlnm._FilterDatabase" localSheetId="5" hidden="1">'功能清单'!$A$2:$G$20</definedName>
    <definedName name="_xlnm.Print_Titles" localSheetId="5">'功能清单'!$2:$2</definedName>
    <definedName name="_xlnm.Print_Titles" localSheetId="6">'进度'!$1:$3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4E3D"/>
      <sz val="16"/>
    </font>
    <font>
      <name val="Arial"/>
      <i val="1"/>
      <color rgb="00666666"/>
      <sz val="9"/>
    </font>
    <font>
      <name val="Arial"/>
      <b val="1"/>
      <color rgb="001F4E3D"/>
      <sz val="12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Menlo"/>
      <color rgb="000000FF"/>
      <sz val="9"/>
    </font>
  </fonts>
  <fills count="9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FFFF99"/>
      </patternFill>
    </fill>
    <fill>
      <patternFill patternType="solid">
        <fgColor rgb="00F8E6D0"/>
      </patternFill>
    </fill>
    <fill>
      <patternFill patternType="solid">
        <fgColor rgb="00E8F0E4"/>
      </patternFill>
    </fill>
    <fill>
      <patternFill patternType="solid">
        <fgColor rgb="00EEF3F8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1" fontId="6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1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8" fillId="7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8" fillId="8" borderId="1" applyAlignment="1" pivotButton="0" quotePrefix="0" xfId="0">
      <alignment vertical="center" wrapText="1"/>
    </xf>
    <xf numFmtId="1" fontId="6" fillId="7" borderId="1" applyAlignment="1" pivotButton="0" quotePrefix="0" xfId="0">
      <alignment horizontal="center" vertical="center" wrapText="1"/>
    </xf>
    <xf numFmtId="1" fontId="6" fillId="8" borderId="1" applyAlignment="1" pivotButton="0" quotePrefix="0" xfId="0">
      <alignment horizontal="center" vertical="center" wrapText="1"/>
    </xf>
    <xf numFmtId="1" fontId="6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" fontId="6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9" fillId="0" borderId="0" pivotButton="0" quotePrefix="0" xfId="0"/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3D"/>
    <outlinePr summaryBelow="1" summaryRight="1"/>
    <pageSetUpPr fitToPage="1"/>
  </sheetPr>
  <dimension ref="A2:H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3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</cols>
  <sheetData>
    <row r="2" ht="24" customHeight="1">
      <c r="B2" s="1" t="inlineStr">
        <is>
          <t>鸟钟 · 素材表与宣传镜头清单</t>
        </is>
      </c>
    </row>
    <row r="3">
      <c r="B3" s="2" t="inlineStr">
        <is>
          <t>按七幕脚本整理。黄底蓝字是你填的格，黑字是固定说明或公式。只做记录，不代表已实现。</t>
        </is>
      </c>
    </row>
    <row r="5">
      <c r="B5" s="3" t="inlineStr">
        <is>
          <t>四张表怎么用</t>
        </is>
      </c>
    </row>
    <row r="6">
      <c r="A6" s="4" t="n"/>
      <c r="B6" s="4" t="inlineStr">
        <is>
          <t>表名</t>
        </is>
      </c>
      <c r="C6" s="4" t="inlineStr">
        <is>
          <t>作用</t>
        </is>
      </c>
    </row>
    <row r="7" ht="30" customHeight="1">
      <c r="B7" s="5" t="inlineStr">
        <is>
          <t>故事线</t>
        </is>
      </c>
      <c r="C7" s="6" t="inlineStr">
        <is>
          <t>七幕脚本逐段落，每段落写清要哪些素材、哪些新功能、多少秒。改脚本先改这里。</t>
        </is>
      </c>
      <c r="D7" s="7" t="n"/>
      <c r="E7" s="7" t="n"/>
      <c r="F7" s="7" t="n"/>
      <c r="G7" s="7" t="n"/>
      <c r="H7" s="8" t="n"/>
    </row>
    <row r="8" ht="30" customHeight="1">
      <c r="B8" s="9" t="inlineStr">
        <is>
          <t>素材表</t>
        </is>
      </c>
      <c r="C8" s="10" t="inlineStr">
        <is>
          <t>所有贴图 / 背景 / 特效 / 文案，按编号管理。碰撞形状一栏决定它在引擎里怎么撞。</t>
        </is>
      </c>
      <c r="D8" s="7" t="n"/>
      <c r="E8" s="7" t="n"/>
      <c r="F8" s="7" t="n"/>
      <c r="G8" s="7" t="n"/>
      <c r="H8" s="8" t="n"/>
    </row>
    <row r="9" ht="30" customHeight="1">
      <c r="B9" s="5" t="inlineStr">
        <is>
          <t>宣传镜头</t>
        </is>
      </c>
      <c r="C9" s="6" t="inlineStr">
        <is>
          <t>每个镜头拍什么、要哪些素材编号、拍完的文件名。作业短视频和宣传片在同一张表里用「用途」区分。</t>
        </is>
      </c>
      <c r="D9" s="7" t="n"/>
      <c r="E9" s="7" t="n"/>
      <c r="F9" s="7" t="n"/>
      <c r="G9" s="7" t="n"/>
      <c r="H9" s="8" t="n"/>
    </row>
    <row r="10" ht="30" customHeight="1">
      <c r="B10" s="9" t="inlineStr">
        <is>
          <t>功能清单</t>
        </is>
      </c>
      <c r="C10" s="10" t="inlineStr">
        <is>
          <t>脚本需要但程序还没有的功能。美术做好了也得有这些才能上画面。</t>
        </is>
      </c>
      <c r="D10" s="7" t="n"/>
      <c r="E10" s="7" t="n"/>
      <c r="F10" s="7" t="n"/>
      <c r="G10" s="7" t="n"/>
      <c r="H10" s="8" t="n"/>
    </row>
    <row r="11" ht="30" customHeight="1">
      <c r="B11" s="5" t="inlineStr">
        <is>
          <t>进度</t>
        </is>
      </c>
      <c r="C11" s="6" t="inlineStr">
        <is>
          <t>公式自动统计还剩多少。用 Excel 或 Numbers 打开才会算出数字。</t>
        </is>
      </c>
      <c r="D11" s="7" t="n"/>
      <c r="E11" s="7" t="n"/>
      <c r="F11" s="7" t="n"/>
      <c r="G11" s="7" t="n"/>
      <c r="H11" s="8" t="n"/>
    </row>
    <row r="13">
      <c r="B13" s="3" t="inlineStr">
        <is>
          <t>编号规则（跨表互相引用，别改已有编号）</t>
        </is>
      </c>
    </row>
    <row r="14">
      <c r="A14" s="4" t="n"/>
      <c r="B14" s="4" t="inlineStr">
        <is>
          <t>前缀</t>
        </is>
      </c>
      <c r="C14" s="4" t="inlineStr">
        <is>
          <t>含义</t>
        </is>
      </c>
      <c r="D14" s="4" t="inlineStr">
        <is>
          <t>备注</t>
        </is>
      </c>
    </row>
    <row r="15" ht="20" customHeight="1">
      <c r="B15" s="5" t="inlineStr">
        <is>
          <t>E</t>
        </is>
      </c>
      <c r="C15" s="6" t="inlineStr">
        <is>
          <t>引擎已有的占位形状与 HUD</t>
        </is>
      </c>
      <c r="D15" s="6" t="inlineStr">
        <is>
          <t>已经能跑，等贴图替换</t>
        </is>
      </c>
      <c r="E15" s="7" t="n"/>
      <c r="F15" s="7" t="n"/>
      <c r="G15" s="7" t="n"/>
      <c r="H15" s="8" t="n"/>
    </row>
    <row r="16" ht="20" customHeight="1">
      <c r="B16" s="9" t="inlineStr">
        <is>
          <t>B</t>
        </is>
      </c>
      <c r="C16" s="10" t="inlineStr">
        <is>
          <t>背景 / 天空 / 地面 / 远景</t>
        </is>
      </c>
      <c r="D16" s="10" t="inlineStr">
        <is>
          <t>一律不参与碰撞</t>
        </is>
      </c>
      <c r="E16" s="7" t="n"/>
      <c r="F16" s="7" t="n"/>
      <c r="G16" s="7" t="n"/>
      <c r="H16" s="8" t="n"/>
    </row>
    <row r="17" ht="20" customHeight="1">
      <c r="B17" s="5" t="inlineStr">
        <is>
          <t>O</t>
        </is>
      </c>
      <c r="C17" s="6" t="inlineStr">
        <is>
          <t>障碍物</t>
        </is>
      </c>
      <c r="D17" s="6" t="inlineStr">
        <is>
          <t>碰撞按类型共用，不按每张贴图重标</t>
        </is>
      </c>
      <c r="E17" s="7" t="n"/>
      <c r="F17" s="7" t="n"/>
      <c r="G17" s="7" t="n"/>
      <c r="H17" s="8" t="n"/>
    </row>
    <row r="18" ht="20" customHeight="1">
      <c r="B18" s="9" t="inlineStr">
        <is>
          <t>K</t>
        </is>
      </c>
      <c r="C18" s="10" t="inlineStr">
        <is>
          <t>拾取物</t>
        </is>
      </c>
      <c r="D18" s="10" t="inlineStr">
        <is>
          <t>碰到触发，不阻挡飞行</t>
        </is>
      </c>
      <c r="E18" s="7" t="n"/>
      <c r="F18" s="7" t="n"/>
      <c r="G18" s="7" t="n"/>
      <c r="H18" s="8" t="n"/>
    </row>
    <row r="19" ht="20" customHeight="1">
      <c r="B19" s="5" t="inlineStr">
        <is>
          <t>F</t>
        </is>
      </c>
      <c r="C19" s="6" t="inlineStr">
        <is>
          <t>特效</t>
        </is>
      </c>
      <c r="D19" s="6" t="inlineStr">
        <is>
          <t>盖在画面上，不影响玩法</t>
        </is>
      </c>
      <c r="E19" s="7" t="n"/>
      <c r="F19" s="7" t="n"/>
      <c r="G19" s="7" t="n"/>
      <c r="H19" s="8" t="n"/>
    </row>
    <row r="20" ht="20" customHeight="1">
      <c r="B20" s="9" t="inlineStr">
        <is>
          <t>T</t>
        </is>
      </c>
      <c r="C20" s="10" t="inlineStr">
        <is>
          <t>字幕 / 文案</t>
        </is>
      </c>
      <c r="D20" s="10" t="inlineStr"/>
      <c r="E20" s="7" t="n"/>
      <c r="F20" s="7" t="n"/>
      <c r="G20" s="7" t="n"/>
      <c r="H20" s="8" t="n"/>
    </row>
    <row r="21" ht="20" customHeight="1">
      <c r="B21" s="5" t="inlineStr">
        <is>
          <t>U</t>
        </is>
      </c>
      <c r="C21" s="6" t="inlineStr">
        <is>
          <t>音效 / 配乐</t>
        </is>
      </c>
      <c r="D21" s="6" t="inlineStr">
        <is>
          <t>可后期补</t>
        </is>
      </c>
      <c r="E21" s="7" t="n"/>
      <c r="F21" s="7" t="n"/>
      <c r="G21" s="7" t="n"/>
      <c r="H21" s="8" t="n"/>
    </row>
    <row r="22" ht="20" customHeight="1">
      <c r="B22" s="9" t="inlineStr">
        <is>
          <t>V</t>
        </is>
      </c>
      <c r="C22" s="10" t="inlineStr">
        <is>
          <t>镜号</t>
        </is>
      </c>
      <c r="D22" s="10" t="inlineStr">
        <is>
          <t>宣传镜头表用</t>
        </is>
      </c>
      <c r="E22" s="7" t="n"/>
      <c r="F22" s="7" t="n"/>
      <c r="G22" s="7" t="n"/>
      <c r="H22" s="8" t="n"/>
    </row>
    <row r="23" ht="20" customHeight="1">
      <c r="B23" s="5" t="inlineStr">
        <is>
          <t>G</t>
        </is>
      </c>
      <c r="C23" s="6" t="inlineStr">
        <is>
          <t>待做功能</t>
        </is>
      </c>
      <c r="D23" s="6" t="inlineStr">
        <is>
          <t>功能清单表用</t>
        </is>
      </c>
      <c r="E23" s="7" t="n"/>
      <c r="F23" s="7" t="n"/>
      <c r="G23" s="7" t="n"/>
      <c r="H23" s="8" t="n"/>
    </row>
    <row r="25">
      <c r="B25" s="3" t="inlineStr">
        <is>
          <t>碰撞形状词典（已在代码里实现，障碍按类型共用）</t>
        </is>
      </c>
    </row>
    <row r="26">
      <c r="A26" s="4" t="n"/>
      <c r="B26" s="4" t="inlineStr">
        <is>
          <t>形状名</t>
        </is>
      </c>
      <c r="C26" s="4" t="inlineStr">
        <is>
          <t>几何含义</t>
        </is>
      </c>
      <c r="D26" s="4" t="inlineStr">
        <is>
          <t>用在哪些素材</t>
        </is>
      </c>
      <c r="E26" s="4" t="inlineStr">
        <is>
          <t>备注</t>
        </is>
      </c>
    </row>
    <row r="27" ht="26" customHeight="1">
      <c r="B27" s="6" t="inlineStr">
        <is>
          <t>矩形柱双缺口</t>
        </is>
      </c>
      <c r="C27" s="6" t="inlineStr">
        <is>
          <t>上下都有实体，中间留缺口</t>
        </is>
      </c>
      <c r="D27" s="6" t="inlineStr">
        <is>
          <t>大树、红树、光秃树、排球网兜</t>
        </is>
      </c>
      <c r="E27" s="6" t="inlineStr">
        <is>
          <t>缺口高度即安全区</t>
        </is>
      </c>
      <c r="F27" s="7" t="n"/>
      <c r="G27" s="7" t="n"/>
      <c r="H27" s="8" t="n"/>
    </row>
    <row r="28" ht="26" customHeight="1">
      <c r="B28" s="10" t="inlineStr">
        <is>
          <t>仅下半</t>
        </is>
      </c>
      <c r="C28" s="10" t="inlineStr">
        <is>
          <t>只有地面一侧，gap_top 当屏顶</t>
        </is>
      </c>
      <c r="D28" s="10" t="inlineStr">
        <is>
          <t>新芽树、风车、玫瑰花</t>
        </is>
      </c>
      <c r="E28" s="10" t="inlineStr">
        <is>
          <t>从上方飞过</t>
        </is>
      </c>
      <c r="F28" s="7" t="n"/>
      <c r="G28" s="7" t="n"/>
      <c r="H28" s="8" t="n"/>
    </row>
    <row r="29" ht="26" customHeight="1">
      <c r="B29" s="6" t="inlineStr">
        <is>
          <t>仅上半</t>
        </is>
      </c>
      <c r="C29" s="6" t="inlineStr">
        <is>
          <t>只有顶部一侧，gap_bottom 当屏底</t>
        </is>
      </c>
      <c r="D29" s="6" t="inlineStr">
        <is>
          <t>藤蔓、鞭炮串、中国结、花灯、篮板</t>
        </is>
      </c>
      <c r="E29" s="6" t="inlineStr">
        <is>
          <t>从下方钻过</t>
        </is>
      </c>
      <c r="F29" s="7" t="n"/>
      <c r="G29" s="7" t="n"/>
      <c r="H29" s="8" t="n"/>
    </row>
    <row r="30" ht="26" customHeight="1">
      <c r="B30" s="10" t="inlineStr">
        <is>
          <t>三角朝上</t>
        </is>
      </c>
      <c r="C30" s="10" t="inlineStr">
        <is>
          <t>底边在地，尖朝上，按斜边判</t>
        </is>
      </c>
      <c r="D30" s="10" t="inlineStr">
        <is>
          <t>金字塔、雪山、圣诞树</t>
        </is>
      </c>
      <c r="E30" s="10" t="inlineStr">
        <is>
          <t>安全高度随 x 变化</t>
        </is>
      </c>
      <c r="F30" s="7" t="n"/>
      <c r="G30" s="7" t="n"/>
      <c r="H30" s="8" t="n"/>
    </row>
    <row r="31" ht="26" customHeight="1">
      <c r="B31" s="6" t="inlineStr">
        <is>
          <t>三角朝下</t>
        </is>
      </c>
      <c r="C31" s="6" t="inlineStr">
        <is>
          <t>尖朝下</t>
        </is>
      </c>
      <c r="D31" s="6" t="inlineStr">
        <is>
          <t>倒挂冰锥、倒垂树冠</t>
        </is>
      </c>
      <c r="E31" s="6" t="inlineStr">
        <is>
          <t>同上，方向相反</t>
        </is>
      </c>
      <c r="F31" s="7" t="n"/>
      <c r="G31" s="7" t="n"/>
      <c r="H31" s="8" t="n"/>
    </row>
    <row r="32" ht="26" customHeight="1">
      <c r="B32" s="10" t="inlineStr">
        <is>
          <t>连绵横条</t>
        </is>
      </c>
      <c r="C32" s="10" t="inlineStr">
        <is>
          <t>屏幕下方持续 5-10 秒的长条</t>
        </is>
      </c>
      <c r="D32" s="10" t="inlineStr">
        <is>
          <t>毛毛虫、麦田、舞狮</t>
        </is>
      </c>
      <c r="E32" s="10" t="inlineStr">
        <is>
          <t>它在场时只生成上方单边障碍</t>
        </is>
      </c>
      <c r="F32" s="7" t="n"/>
      <c r="G32" s="7" t="n"/>
      <c r="H32" s="8" t="n"/>
    </row>
    <row r="33" ht="26" customHeight="1">
      <c r="B33" s="6" t="inlineStr">
        <is>
          <t>拾取触发</t>
        </is>
      </c>
      <c r="C33" s="6" t="inlineStr">
        <is>
          <t>碰到就触发，不阻挡</t>
        </is>
      </c>
      <c r="D33" s="6" t="inlineStr">
        <is>
          <t>全部 K 类拾取物</t>
        </is>
      </c>
      <c r="E33" s="6" t="inlineStr">
        <is>
          <t>需要功能 G01</t>
        </is>
      </c>
      <c r="F33" s="7" t="n"/>
      <c r="G33" s="7" t="n"/>
      <c r="H33" s="8" t="n"/>
    </row>
    <row r="34" ht="26" customHeight="1">
      <c r="B34" s="10" t="inlineStr">
        <is>
          <t>无碰撞装饰</t>
        </is>
      </c>
      <c r="C34" s="10" t="inlineStr">
        <is>
          <t>只画不撞，可伸出碰撞体</t>
        </is>
      </c>
      <c r="D34" s="10" t="inlineStr">
        <is>
          <t>背景、树冠、挂饰、特效、HUD</t>
        </is>
      </c>
      <c r="E34" s="10" t="inlineStr">
        <is>
          <t>美术可以画得比碰撞体大</t>
        </is>
      </c>
      <c r="F34" s="7" t="n"/>
      <c r="G34" s="7" t="n"/>
      <c r="H34" s="8" t="n"/>
    </row>
    <row r="35" ht="26" customHeight="1">
      <c r="B35" s="6" t="inlineStr">
        <is>
          <t>鸟矩形</t>
        </is>
      </c>
      <c r="C35" s="6" t="inlineStr">
        <is>
          <t>鸟的轴对齐小矩形</t>
        </is>
      </c>
      <c r="D35" s="6" t="inlineStr">
        <is>
          <t>鸟本体</t>
        </is>
      </c>
      <c r="E35" s="6" t="inlineStr">
        <is>
          <t>可略小于精灵，手感更松</t>
        </is>
      </c>
      <c r="F35" s="7" t="n"/>
      <c r="G35" s="7" t="n"/>
      <c r="H35" s="8" t="n"/>
    </row>
    <row r="37">
      <c r="B37" s="3" t="inlineStr">
        <is>
          <t>填写示例（照这一行的格式写）</t>
        </is>
      </c>
    </row>
    <row r="38">
      <c r="B38" s="4" t="inlineStr">
        <is>
          <t>编号</t>
        </is>
      </c>
      <c r="C38" s="4" t="inlineStr">
        <is>
          <t>名称</t>
        </is>
      </c>
      <c r="D38" s="4" t="inlineStr">
        <is>
          <t>状态</t>
        </is>
      </c>
      <c r="E38" s="4" t="inlineStr">
        <is>
          <t>文件路径</t>
        </is>
      </c>
      <c r="F38" s="4" t="inlineStr">
        <is>
          <t>备注</t>
        </is>
      </c>
    </row>
    <row r="39">
      <c r="B39" s="11" t="inlineStr">
        <is>
          <t>O11</t>
        </is>
      </c>
      <c r="C39" s="11" t="inlineStr">
        <is>
          <t>圣诞树</t>
        </is>
      </c>
      <c r="D39" s="12" t="inlineStr">
        <is>
          <t>草稿</t>
        </is>
      </c>
      <c r="E39" s="12" t="inlineStr">
        <is>
          <t>assets/xmas/tree.png</t>
        </is>
      </c>
      <c r="F39" s="12" t="inlineStr">
        <is>
          <t>三角朝上；灯只画不撞</t>
        </is>
      </c>
    </row>
    <row r="40">
      <c r="B40" s="2" t="inlineStr">
        <is>
          <t>路径用相对目录，例如 assets/spring/vine.png。还没有文件就留空，状态保持「未开始」。镜头文件名建议与镜号一致，例如 V02_spring.mp4。</t>
        </is>
      </c>
    </row>
  </sheetData>
  <mergeCells count="26">
    <mergeCell ref="C10:H10"/>
    <mergeCell ref="D20:H20"/>
    <mergeCell ref="B40:H40"/>
    <mergeCell ref="C9:H9"/>
    <mergeCell ref="D19:H19"/>
    <mergeCell ref="D22:H22"/>
    <mergeCell ref="E32:H32"/>
    <mergeCell ref="C11:H11"/>
    <mergeCell ref="D21:H21"/>
    <mergeCell ref="C8:H8"/>
    <mergeCell ref="E33:H33"/>
    <mergeCell ref="B3:H3"/>
    <mergeCell ref="C7:H7"/>
    <mergeCell ref="D17:H17"/>
    <mergeCell ref="D16:H16"/>
    <mergeCell ref="E35:H35"/>
    <mergeCell ref="B2:H2"/>
    <mergeCell ref="E29:H29"/>
    <mergeCell ref="D18:H18"/>
    <mergeCell ref="E28:H28"/>
    <mergeCell ref="D15:H15"/>
    <mergeCell ref="E31:H31"/>
    <mergeCell ref="E34:H34"/>
    <mergeCell ref="E30:H30"/>
    <mergeCell ref="D23:H23"/>
    <mergeCell ref="E27:H2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6" customWidth="1" min="3" max="3"/>
    <col width="12" customWidth="1" min="4" max="4"/>
    <col width="26" customWidth="1" min="5" max="5"/>
    <col width="16" customWidth="1" min="6" max="6"/>
    <col width="10" customWidth="1" min="7" max="7"/>
    <col width="10" customWidth="1" min="8" max="8"/>
    <col width="26" customWidth="1" min="9" max="9"/>
  </cols>
  <sheetData>
    <row r="1" ht="24" customHeight="1">
      <c r="A1" s="4" t="inlineStr">
        <is>
          <t>幕次</t>
        </is>
      </c>
      <c r="B1" s="4" t="inlineStr">
        <is>
          <t>段落</t>
        </is>
      </c>
      <c r="C1" s="4" t="inlineStr">
        <is>
          <t>脚本内容</t>
        </is>
      </c>
      <c r="D1" s="4" t="inlineStr">
        <is>
          <t>对应镜号</t>
        </is>
      </c>
      <c r="E1" s="4" t="inlineStr">
        <is>
          <t>需要素材编号</t>
        </is>
      </c>
      <c r="F1" s="4" t="inlineStr">
        <is>
          <t>需要新功能</t>
        </is>
      </c>
      <c r="G1" s="4" t="inlineStr">
        <is>
          <t>预估秒数</t>
        </is>
      </c>
      <c r="H1" s="4" t="inlineStr">
        <is>
          <t>状态</t>
        </is>
      </c>
      <c r="I1" s="4" t="inlineStr">
        <is>
          <t>备注</t>
        </is>
      </c>
    </row>
    <row r="2" ht="32" customHeight="1">
      <c r="A2" s="6" t="inlineStr">
        <is>
          <t>第一幕</t>
        </is>
      </c>
      <c r="B2" s="6" t="inlineStr">
        <is>
          <t>开头</t>
        </is>
      </c>
      <c r="C2" s="6" t="inlineStr">
        <is>
          <t>字幕 What is time?  点题，留白</t>
        </is>
      </c>
      <c r="D2" s="13" t="inlineStr">
        <is>
          <t>V01</t>
        </is>
      </c>
      <c r="E2" s="13" t="inlineStr">
        <is>
          <t>T01</t>
        </is>
      </c>
      <c r="F2" s="13" t="inlineStr">
        <is>
          <t>—</t>
        </is>
      </c>
      <c r="G2" s="14" t="n">
        <v>6</v>
      </c>
      <c r="H2" s="12" t="inlineStr">
        <is>
          <t>未开始</t>
        </is>
      </c>
      <c r="I2" s="12" t="n"/>
    </row>
    <row r="3" ht="32" customHeight="1">
      <c r="A3" s="6" t="inlineStr">
        <is>
          <t>第二幕</t>
        </is>
      </c>
      <c r="B3" s="6" t="inlineStr">
        <is>
          <t>春</t>
        </is>
      </c>
      <c r="C3" s="6" t="inlineStr">
        <is>
          <t>荆棘藤蔓、新芽树、毛毛虫障碍；蝴蝶拾取</t>
        </is>
      </c>
      <c r="D3" s="13" t="inlineStr">
        <is>
          <t>V02</t>
        </is>
      </c>
      <c r="E3" s="13" t="inlineStr">
        <is>
          <t>B01-B03 O01-O03 K01</t>
        </is>
      </c>
      <c r="F3" s="13" t="inlineStr">
        <is>
          <t>G01 G02 G03</t>
        </is>
      </c>
      <c r="G3" s="14" t="n">
        <v>10</v>
      </c>
      <c r="H3" s="12" t="inlineStr">
        <is>
          <t>未开始</t>
        </is>
      </c>
      <c r="I3" s="12" t="n"/>
    </row>
    <row r="4" ht="32" customHeight="1">
      <c r="A4" s="6" t="inlineStr">
        <is>
          <t>第二幕</t>
        </is>
      </c>
      <c r="B4" s="6" t="inlineStr">
        <is>
          <t>夏</t>
        </is>
      </c>
      <c r="C4" s="6" t="inlineStr">
        <is>
          <t>大树、金字塔障碍；棒冰拾取</t>
        </is>
      </c>
      <c r="D4" s="13" t="inlineStr">
        <is>
          <t>V03</t>
        </is>
      </c>
      <c r="E4" s="13" t="inlineStr">
        <is>
          <t>B04-B06 O04 O05 K02</t>
        </is>
      </c>
      <c r="F4" s="13" t="inlineStr">
        <is>
          <t>G01 G02</t>
        </is>
      </c>
      <c r="G4" s="14" t="n">
        <v>10</v>
      </c>
      <c r="H4" s="12" t="inlineStr">
        <is>
          <t>未开始</t>
        </is>
      </c>
      <c r="I4" s="12" t="n"/>
    </row>
    <row r="5" ht="32" customHeight="1">
      <c r="A5" s="6" t="inlineStr">
        <is>
          <t>第二幕</t>
        </is>
      </c>
      <c r="B5" s="6" t="inlineStr">
        <is>
          <t>秋</t>
        </is>
      </c>
      <c r="C5" s="6" t="inlineStr">
        <is>
          <t>风车、红树、麦穗障碍；枫叶拾取</t>
        </is>
      </c>
      <c r="D5" s="13" t="inlineStr">
        <is>
          <t>V04</t>
        </is>
      </c>
      <c r="E5" s="13" t="inlineStr">
        <is>
          <t>B07-B09 O06-O08 K03</t>
        </is>
      </c>
      <c r="F5" s="13" t="inlineStr">
        <is>
          <t>G01 G02</t>
        </is>
      </c>
      <c r="G5" s="14" t="n">
        <v>10</v>
      </c>
      <c r="H5" s="12" t="inlineStr">
        <is>
          <t>未开始</t>
        </is>
      </c>
      <c r="I5" s="12" t="n"/>
    </row>
    <row r="6" ht="32" customHeight="1">
      <c r="A6" s="6" t="inlineStr">
        <is>
          <t>第二幕</t>
        </is>
      </c>
      <c r="B6" s="6" t="inlineStr">
        <is>
          <t>冬</t>
        </is>
      </c>
      <c r="C6" s="6" t="inlineStr">
        <is>
          <t>光秃树、雪山障碍；手套拾取</t>
        </is>
      </c>
      <c r="D6" s="13" t="inlineStr">
        <is>
          <t>V05</t>
        </is>
      </c>
      <c r="E6" s="13" t="inlineStr">
        <is>
          <t>B10-B12 O09 O10 K04</t>
        </is>
      </c>
      <c r="F6" s="13" t="inlineStr">
        <is>
          <t>G01 G02</t>
        </is>
      </c>
      <c r="G6" s="14" t="n">
        <v>10</v>
      </c>
      <c r="H6" s="12" t="inlineStr">
        <is>
          <t>未开始</t>
        </is>
      </c>
      <c r="I6" s="12" t="n"/>
    </row>
    <row r="7" ht="32" customHeight="1">
      <c r="A7" s="6" t="inlineStr">
        <is>
          <t>第二幕</t>
        </is>
      </c>
      <c r="B7" s="6" t="inlineStr">
        <is>
          <t>四季连切</t>
        </is>
      </c>
      <c r="C7" s="6" t="inlineStr">
        <is>
          <t>同一段飞行，四季整套快切，点出时间在走</t>
        </is>
      </c>
      <c r="D7" s="13" t="inlineStr">
        <is>
          <t>V06</t>
        </is>
      </c>
      <c r="E7" s="13" t="inlineStr">
        <is>
          <t>B01-B12 O01-O10</t>
        </is>
      </c>
      <c r="F7" s="13" t="inlineStr">
        <is>
          <t>G02 G05</t>
        </is>
      </c>
      <c r="G7" s="14" t="n">
        <v>8</v>
      </c>
      <c r="H7" s="12" t="inlineStr">
        <is>
          <t>未开始</t>
        </is>
      </c>
      <c r="I7" s="12" t="n"/>
    </row>
    <row r="8" ht="32" customHeight="1">
      <c r="A8" s="6" t="inlineStr">
        <is>
          <t>第三幕</t>
        </is>
      </c>
      <c r="B8" s="6" t="inlineStr">
        <is>
          <t>圣诞节</t>
        </is>
      </c>
      <c r="C8" s="6" t="inlineStr">
        <is>
          <t>圣诞树障碍、圣诞礼盒拾取，叠冬天基础套</t>
        </is>
      </c>
      <c r="D8" s="13" t="inlineStr">
        <is>
          <t>V07</t>
        </is>
      </c>
      <c r="E8" s="13" t="inlineStr">
        <is>
          <t>O11 K05 + 冬套</t>
        </is>
      </c>
      <c r="F8" s="13" t="inlineStr">
        <is>
          <t>G01 G02</t>
        </is>
      </c>
      <c r="G8" s="14" t="n">
        <v>8</v>
      </c>
      <c r="H8" s="12" t="inlineStr">
        <is>
          <t>未开始</t>
        </is>
      </c>
      <c r="I8" s="12" t="n"/>
    </row>
    <row r="9" ht="32" customHeight="1">
      <c r="A9" s="6" t="inlineStr">
        <is>
          <t>第三幕</t>
        </is>
      </c>
      <c r="B9" s="6" t="inlineStr">
        <is>
          <t>春节</t>
        </is>
      </c>
      <c r="C9" s="6" t="inlineStr">
        <is>
          <t>鞭炮串、舞狮、中国结障碍，叠春天基础套</t>
        </is>
      </c>
      <c r="D9" s="13" t="inlineStr">
        <is>
          <t>V08</t>
        </is>
      </c>
      <c r="E9" s="13" t="inlineStr">
        <is>
          <t>O12-O14 + 春套</t>
        </is>
      </c>
      <c r="F9" s="13" t="inlineStr">
        <is>
          <t>G02</t>
        </is>
      </c>
      <c r="G9" s="14" t="n">
        <v>10</v>
      </c>
      <c r="H9" s="12" t="inlineStr">
        <is>
          <t>未开始</t>
        </is>
      </c>
      <c r="I9" s="12" t="n"/>
    </row>
    <row r="10" ht="32" customHeight="1">
      <c r="A10" s="6" t="inlineStr">
        <is>
          <t>第三幕</t>
        </is>
      </c>
      <c r="B10" s="6" t="inlineStr">
        <is>
          <t>元宵节</t>
        </is>
      </c>
      <c r="C10" s="6" t="inlineStr">
        <is>
          <t>灯会障碍、汤圆拾取、古诗飘字特效，叠春天基础套</t>
        </is>
      </c>
      <c r="D10" s="13" t="inlineStr">
        <is>
          <t>V09</t>
        </is>
      </c>
      <c r="E10" s="13" t="inlineStr">
        <is>
          <t>O15 K06 F02 + 春套</t>
        </is>
      </c>
      <c r="F10" s="13" t="inlineStr">
        <is>
          <t>G01 G04</t>
        </is>
      </c>
      <c r="G10" s="14" t="n">
        <v>10</v>
      </c>
      <c r="H10" s="12" t="inlineStr">
        <is>
          <t>未开始</t>
        </is>
      </c>
      <c r="I10" s="12" t="n"/>
    </row>
    <row r="11" ht="32" customHeight="1">
      <c r="A11" s="6" t="inlineStr">
        <is>
          <t>第四幕</t>
        </is>
      </c>
      <c r="B11" s="6" t="inlineStr">
        <is>
          <t>纪念日</t>
        </is>
      </c>
      <c r="C11" s="6" t="inlineStr">
        <is>
          <t>钻戒拾取、玫瑰花与礼袍障碍</t>
        </is>
      </c>
      <c r="D11" s="13" t="inlineStr">
        <is>
          <t>V10</t>
        </is>
      </c>
      <c r="E11" s="13" t="inlineStr">
        <is>
          <t>O16 O17 K07</t>
        </is>
      </c>
      <c r="F11" s="13" t="inlineStr">
        <is>
          <t>G01</t>
        </is>
      </c>
      <c r="G11" s="14" t="n">
        <v>8</v>
      </c>
      <c r="H11" s="12" t="inlineStr">
        <is>
          <t>未开始</t>
        </is>
      </c>
      <c r="I11" s="12" t="n"/>
    </row>
    <row r="12" ht="32" customHeight="1">
      <c r="A12" s="6" t="inlineStr">
        <is>
          <t>第四幕</t>
        </is>
      </c>
      <c r="B12" s="6" t="inlineStr">
        <is>
          <t>新年</t>
        </is>
      </c>
      <c r="C12" s="6" t="inlineStr">
        <is>
          <t>Happy New Year 跳字 + 烟花礼花，约 10s 全屏特效，不是场景</t>
        </is>
      </c>
      <c r="D12" s="13" t="inlineStr">
        <is>
          <t>V11</t>
        </is>
      </c>
      <c r="E12" s="13" t="inlineStr">
        <is>
          <t>F03 F04</t>
        </is>
      </c>
      <c r="F12" s="13" t="inlineStr">
        <is>
          <t>G04</t>
        </is>
      </c>
      <c r="G12" s="14" t="n">
        <v>10</v>
      </c>
      <c r="H12" s="12" t="inlineStr">
        <is>
          <t>未开始</t>
        </is>
      </c>
      <c r="I12" s="12" t="n"/>
    </row>
    <row r="13" ht="32" customHeight="1">
      <c r="A13" s="6" t="inlineStr">
        <is>
          <t>第四幕</t>
        </is>
      </c>
      <c r="B13" s="6" t="inlineStr">
        <is>
          <t>亚运会</t>
        </is>
      </c>
      <c r="C13" s="6" t="inlineStr">
        <is>
          <t>太阳纹背景、足球拾取、篮板与排球网兜障碍</t>
        </is>
      </c>
      <c r="D13" s="13" t="inlineStr">
        <is>
          <t>V12</t>
        </is>
      </c>
      <c r="E13" s="13" t="inlineStr">
        <is>
          <t>B16 O18 O19 K08</t>
        </is>
      </c>
      <c r="F13" s="13" t="inlineStr">
        <is>
          <t>G01</t>
        </is>
      </c>
      <c r="G13" s="14" t="n">
        <v>8</v>
      </c>
      <c r="H13" s="12" t="inlineStr">
        <is>
          <t>未开始</t>
        </is>
      </c>
      <c r="I13" s="12" t="n"/>
    </row>
    <row r="14" ht="32" customHeight="1">
      <c r="A14" s="6" t="inlineStr">
        <is>
          <t>第五幕</t>
        </is>
      </c>
      <c r="B14" s="6" t="inlineStr">
        <is>
          <t>春秋傍晚</t>
        </is>
      </c>
      <c r="C14" s="6" t="inlineStr">
        <is>
          <t>绿草甸转场金黄草地，夕阳 + 云彩，叠春秋基础套</t>
        </is>
      </c>
      <c r="D14" s="13" t="inlineStr">
        <is>
          <t>V13</t>
        </is>
      </c>
      <c r="E14" s="13" t="inlineStr">
        <is>
          <t>B02 B08 B13 F01</t>
        </is>
      </c>
      <c r="F14" s="13" t="inlineStr">
        <is>
          <t>G03 G05</t>
        </is>
      </c>
      <c r="G14" s="14" t="n">
        <v>10</v>
      </c>
      <c r="H14" s="12" t="inlineStr">
        <is>
          <t>未开始</t>
        </is>
      </c>
      <c r="I14" s="12" t="n"/>
    </row>
    <row r="15" ht="32" customHeight="1">
      <c r="A15" s="6" t="inlineStr">
        <is>
          <t>第五幕</t>
        </is>
      </c>
      <c r="B15" s="6" t="inlineStr">
        <is>
          <t>夏冬夜晚</t>
        </is>
      </c>
      <c r="C15" s="6" t="inlineStr">
        <is>
          <t>星空烟火晚会转场冬夜雪山 + 极光，叠夏冬基础套</t>
        </is>
      </c>
      <c r="D15" s="13" t="inlineStr">
        <is>
          <t>V14</t>
        </is>
      </c>
      <c r="E15" s="13" t="inlineStr">
        <is>
          <t>B14 B15 F05 F06</t>
        </is>
      </c>
      <c r="F15" s="13" t="inlineStr">
        <is>
          <t>G03 G04 G05</t>
        </is>
      </c>
      <c r="G15" s="14" t="n">
        <v>10</v>
      </c>
      <c r="H15" s="12" t="inlineStr">
        <is>
          <t>未开始</t>
        </is>
      </c>
      <c r="I15" s="12" t="n"/>
    </row>
    <row r="16" ht="32" customHeight="1">
      <c r="A16" s="6" t="inlineStr">
        <is>
          <t>第六幕</t>
        </is>
      </c>
      <c r="B16" s="6" t="inlineStr">
        <is>
          <t>收尾</t>
        </is>
      </c>
      <c r="C16" s="6" t="inlineStr">
        <is>
          <t>Time is not a number, it is … 闪过 memory / scenery / friends</t>
        </is>
      </c>
      <c r="D16" s="13" t="inlineStr">
        <is>
          <t>V15</t>
        </is>
      </c>
      <c r="E16" s="13" t="inlineStr">
        <is>
          <t>T06 F07</t>
        </is>
      </c>
      <c r="F16" s="13" t="inlineStr">
        <is>
          <t>G04</t>
        </is>
      </c>
      <c r="G16" s="14" t="n">
        <v>8</v>
      </c>
      <c r="H16" s="12" t="inlineStr">
        <is>
          <t>未开始</t>
        </is>
      </c>
      <c r="I16" s="12" t="n"/>
    </row>
    <row r="17" ht="32" customHeight="1">
      <c r="A17" s="6" t="inlineStr">
        <is>
          <t>第七幕</t>
        </is>
      </c>
      <c r="B17" s="6" t="inlineStr">
        <is>
          <t>结尾</t>
        </is>
      </c>
      <c r="C17" s="6" t="inlineStr">
        <is>
          <t>回到第一幕 What is time，收束</t>
        </is>
      </c>
      <c r="D17" s="13" t="inlineStr">
        <is>
          <t>V16</t>
        </is>
      </c>
      <c r="E17" s="13" t="inlineStr">
        <is>
          <t>T01</t>
        </is>
      </c>
      <c r="F17" s="13" t="inlineStr">
        <is>
          <t>—</t>
        </is>
      </c>
      <c r="G17" s="14" t="n">
        <v>5</v>
      </c>
      <c r="H17" s="12" t="inlineStr">
        <is>
          <t>未开始</t>
        </is>
      </c>
      <c r="I17" s="12" t="n"/>
    </row>
    <row r="18" ht="32" customHeight="1">
      <c r="A18" s="6" t="inlineStr">
        <is>
          <t>待定</t>
        </is>
      </c>
      <c r="B18" s="6" t="inlineStr">
        <is>
          <t>玩法展示</t>
        </is>
      </c>
      <c r="C18" s="6" t="inlineStr">
        <is>
          <t>基础功能：IDLE 自动飞、按键、死亡重开、羽毛钟</t>
        </is>
      </c>
      <c r="D18" s="13" t="inlineStr">
        <is>
          <t>V17</t>
        </is>
      </c>
      <c r="E18" s="13" t="inlineStr">
        <is>
          <t>E01-E12</t>
        </is>
      </c>
      <c r="F18" s="13" t="inlineStr">
        <is>
          <t>已有</t>
        </is>
      </c>
      <c r="G18" s="14" t="n">
        <v>12</v>
      </c>
      <c r="H18" s="12" t="inlineStr">
        <is>
          <t>未开始</t>
        </is>
      </c>
      <c r="I18" s="12" t="n"/>
    </row>
    <row r="19" ht="32" customHeight="1">
      <c r="A19" s="6" t="inlineStr">
        <is>
          <t>待定</t>
        </is>
      </c>
      <c r="B19" s="6" t="inlineStr">
        <is>
          <t>虚实结合</t>
        </is>
      </c>
      <c r="C19" s="6" t="inlineStr">
        <is>
          <t>Pi 屏幕出现在真实场景里，连接虚拟与现实</t>
        </is>
      </c>
      <c r="D19" s="13" t="inlineStr">
        <is>
          <t>V18</t>
        </is>
      </c>
      <c r="E19" s="13" t="inlineStr">
        <is>
          <t>—</t>
        </is>
      </c>
      <c r="F19" s="13" t="inlineStr">
        <is>
          <t>已有</t>
        </is>
      </c>
      <c r="G19" s="14" t="n">
        <v>10</v>
      </c>
      <c r="H19" s="12" t="inlineStr">
        <is>
          <t>未开始</t>
        </is>
      </c>
      <c r="I19" s="12" t="n"/>
    </row>
    <row r="20">
      <c r="F20" s="15" t="inlineStr">
        <is>
          <t>预估总时长（秒）</t>
        </is>
      </c>
      <c r="G20" s="16">
        <f>SUM(G2:G19)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12" t="n"/>
      <c r="I21" s="12" t="n"/>
    </row>
    <row r="22">
      <c r="A22" s="6" t="n"/>
      <c r="B22" s="6" t="n"/>
      <c r="C22" s="6" t="n"/>
      <c r="D22" s="6" t="n"/>
      <c r="E22" s="6" t="n"/>
      <c r="F22" s="6" t="n"/>
      <c r="G22" s="6" t="n"/>
      <c r="H22" s="12" t="n"/>
      <c r="I22" s="12" t="n"/>
    </row>
    <row r="23">
      <c r="A23" s="6" t="n"/>
      <c r="B23" s="6" t="n"/>
      <c r="C23" s="6" t="n"/>
      <c r="D23" s="6" t="n"/>
      <c r="E23" s="6" t="n"/>
      <c r="F23" s="6" t="n"/>
      <c r="G23" s="6" t="n"/>
      <c r="H23" s="12" t="n"/>
      <c r="I23" s="12" t="n"/>
    </row>
    <row r="24">
      <c r="A24" s="6" t="n"/>
      <c r="B24" s="6" t="n"/>
      <c r="C24" s="6" t="n"/>
      <c r="D24" s="6" t="n"/>
      <c r="E24" s="6" t="n"/>
      <c r="F24" s="6" t="n"/>
      <c r="G24" s="6" t="n"/>
      <c r="H24" s="12" t="n"/>
      <c r="I24" s="12" t="n"/>
    </row>
    <row r="25">
      <c r="A25" s="6" t="n"/>
      <c r="B25" s="6" t="n"/>
      <c r="C25" s="6" t="n"/>
      <c r="D25" s="6" t="n"/>
      <c r="E25" s="6" t="n"/>
      <c r="F25" s="6" t="n"/>
      <c r="G25" s="6" t="n"/>
      <c r="H25" s="12" t="n"/>
      <c r="I25" s="12" t="n"/>
    </row>
    <row r="26">
      <c r="A26" s="6" t="n"/>
      <c r="B26" s="6" t="n"/>
      <c r="C26" s="6" t="n"/>
      <c r="D26" s="6" t="n"/>
      <c r="E26" s="6" t="n"/>
      <c r="F26" s="6" t="n"/>
      <c r="G26" s="6" t="n"/>
      <c r="H26" s="12" t="n"/>
      <c r="I26" s="12" t="n"/>
    </row>
    <row r="27">
      <c r="A27" s="6" t="n"/>
      <c r="B27" s="6" t="n"/>
      <c r="C27" s="6" t="n"/>
      <c r="D27" s="6" t="n"/>
      <c r="E27" s="6" t="n"/>
      <c r="F27" s="6" t="n"/>
      <c r="G27" s="6" t="n"/>
      <c r="H27" s="12" t="n"/>
      <c r="I27" s="12" t="n"/>
    </row>
    <row r="28">
      <c r="A28" s="6" t="n"/>
      <c r="B28" s="6" t="n"/>
      <c r="C28" s="6" t="n"/>
      <c r="D28" s="6" t="n"/>
      <c r="E28" s="6" t="n"/>
      <c r="F28" s="6" t="n"/>
      <c r="G28" s="6" t="n"/>
      <c r="H28" s="12" t="n"/>
      <c r="I28" s="12" t="n"/>
    </row>
    <row r="29">
      <c r="A29" s="6" t="n"/>
      <c r="B29" s="6" t="n"/>
      <c r="C29" s="6" t="n"/>
      <c r="D29" s="6" t="n"/>
      <c r="E29" s="6" t="n"/>
      <c r="F29" s="6" t="n"/>
      <c r="G29" s="6" t="n"/>
      <c r="H29" s="12" t="n"/>
      <c r="I29" s="12" t="n"/>
    </row>
    <row r="30">
      <c r="A30" s="6" t="n"/>
      <c r="B30" s="6" t="n"/>
      <c r="C30" s="6" t="n"/>
      <c r="D30" s="6" t="n"/>
      <c r="E30" s="6" t="n"/>
      <c r="F30" s="6" t="n"/>
      <c r="G30" s="6" t="n"/>
      <c r="H30" s="12" t="n"/>
      <c r="I30" s="12" t="n"/>
    </row>
  </sheetData>
  <autoFilter ref="A1:I30"/>
  <dataValidations count="2">
    <dataValidation sqref="A2:A30" showDropDown="0" showInputMessage="0" showErrorMessage="1" allowBlank="0" errorTitle="幕次" error="请从下拉列表选择" type="list">
      <formula1>"第一幕,第二幕,第三幕,第四幕,第五幕,第六幕,第七幕,待定,作业提交,后期"</formula1>
    </dataValidation>
    <dataValidation sqref="H2:H30" showDropDown="0" showInputMessage="0" showErrorMessage="1" allowBlank="0" errorTitle="状态" error="请从下拉列表选择" type="list">
      <formula1>"未开始,进行中,已完成,暂缓"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B2:H4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22" customWidth="1" min="4" max="4"/>
    <col width="62" customWidth="1" min="5" max="5"/>
    <col width="12" customWidth="1" min="6" max="6"/>
    <col width="12" customWidth="1" min="7" max="7"/>
    <col width="12" customWidth="1" min="8" max="8"/>
  </cols>
  <sheetData>
    <row r="2" ht="24" customHeight="1">
      <c r="B2" s="1" t="inlineStr">
        <is>
          <t>画布规格 · 照这个尺寸画就能直接进游戏</t>
        </is>
      </c>
    </row>
    <row r="3">
      <c r="B3" s="2" t="inlineStr">
        <is>
          <t>屏幕 240 x 135。全部 PNG，带透明通道，不要抗锯齿（引擎用 NEAREST 缩放，糊边会被放大）。放进 bird_clock/assets/&lt;皮肤名&gt;/ 就自动生效，缺文件就退回灰模。</t>
        </is>
      </c>
    </row>
    <row r="5">
      <c r="B5" s="3" t="inlineStr">
        <is>
          <t>每类素材的画布</t>
        </is>
      </c>
    </row>
    <row r="6" ht="22" customHeight="1">
      <c r="B6" s="4" t="inlineStr">
        <is>
          <t>素材类型</t>
        </is>
      </c>
      <c r="C6" s="4" t="inlineStr">
        <is>
          <t>画布尺寸</t>
        </is>
      </c>
      <c r="D6" s="4" t="inlineStr">
        <is>
          <t>示例文件名</t>
        </is>
      </c>
      <c r="E6" s="4" t="inlineStr">
        <is>
          <t>画的时候要注意什么</t>
        </is>
      </c>
    </row>
    <row r="7" ht="42" customHeight="1">
      <c r="B7" s="5" t="inlineStr">
        <is>
          <t>障碍（矩形类）</t>
        </is>
      </c>
      <c r="C7" s="31" t="inlineStr">
        <is>
          <t>20 x 72</t>
        </is>
      </c>
      <c r="D7" s="6" t="inlineStr">
        <is>
          <t>sprout.png / vine.png</t>
        </is>
      </c>
      <c r="E7" s="6" t="inlineStr">
        <is>
          <t>宽度只会被缩到 14-20，高度 0-135 随机。顶端 18 像素是「不拉伸区」，树冠、藤蔓尖这些细节放这 18 像素里；其余部分会被拉伸，画成可重复的纹理</t>
        </is>
      </c>
    </row>
    <row r="8" ht="42" customHeight="1">
      <c r="B8" s="9" t="inlineStr">
        <is>
          <t>障碍（三角类）</t>
        </is>
      </c>
      <c r="C8" s="32" t="inlineStr">
        <is>
          <t>20 x 72</t>
        </is>
      </c>
      <c r="D8" s="10" t="inlineStr">
        <is>
          <t>hill.png / hill_down.png</t>
        </is>
      </c>
      <c r="E8" s="10" t="inlineStr">
        <is>
          <t>整张等比缩放，不做三段切。画成三角剪影，四角留透明</t>
        </is>
      </c>
    </row>
    <row r="9" ht="42" customHeight="1">
      <c r="B9" s="5" t="inlineStr">
        <is>
          <t>连绵横条</t>
        </is>
      </c>
      <c r="C9" s="31" t="inlineStr">
        <is>
          <t>16 x 18</t>
        </is>
      </c>
      <c r="D9" s="6" t="inlineStr">
        <is>
          <t>caterpillar.png</t>
        </is>
      </c>
      <c r="E9" s="6" t="inlineStr">
        <is>
          <t>横向无缝重复。左右两边要能接上，否则会看到接缝</t>
        </is>
      </c>
    </row>
    <row r="10" ht="42" customHeight="1">
      <c r="B10" s="9" t="inlineStr">
        <is>
          <t>拾取物</t>
        </is>
      </c>
      <c r="C10" s="32" t="inlineStr">
        <is>
          <t>7 x 7</t>
        </is>
      </c>
      <c r="D10" s="10" t="inlineStr">
        <is>
          <t>butterfly.png</t>
        </is>
      </c>
      <c r="E10" s="10" t="inlineStr">
        <is>
          <t>很小，只能做剪影和两三个颜色。想画大一点就先跟我说，要改 ItemConfig.size</t>
        </is>
      </c>
    </row>
    <row r="11" ht="42" customHeight="1">
      <c r="B11" s="5" t="inlineStr">
        <is>
          <t>小鸟</t>
        </is>
      </c>
      <c r="C11" s="31" t="inlineStr">
        <is>
          <t>8 x 8</t>
        </is>
      </c>
      <c r="D11" s="6" t="inlineStr">
        <is>
          <t>bird.png</t>
        </is>
      </c>
      <c r="E11" s="6" t="inlineStr">
        <is>
          <t>碰撞盒就是这 8x8，贴图别超出，否则看着撞到了其实没撞</t>
        </is>
      </c>
    </row>
    <row r="12" ht="42" customHeight="1">
      <c r="B12" s="9" t="inlineStr">
        <is>
          <t>天空</t>
        </is>
      </c>
      <c r="C12" s="32" t="inlineStr">
        <is>
          <t>240 x 135</t>
        </is>
      </c>
      <c r="D12" s="10" t="inlineStr">
        <is>
          <t>sky.png</t>
        </is>
      </c>
      <c r="E12" s="10" t="inlineStr">
        <is>
          <t>整屏铺满，不滚动。也可以不放这张，只在 skin.json 里写一个背景色</t>
        </is>
      </c>
    </row>
    <row r="13" ht="42" customHeight="1">
      <c r="B13" s="5" t="inlineStr">
        <is>
          <t>远景层</t>
        </is>
      </c>
      <c r="C13" s="31" t="inlineStr">
        <is>
          <t>120 x 135</t>
        </is>
      </c>
      <c r="D13" s="6" t="inlineStr">
        <is>
          <t>far.png</t>
        </is>
      </c>
      <c r="E13" s="6" t="inlineStr">
        <is>
          <t>横向无缝重复 + 视差滚动（默认 0.35 倍速）。左右边缘必须能接上</t>
        </is>
      </c>
    </row>
    <row r="15">
      <c r="B15" s="3" t="inlineStr">
        <is>
          <t>为什么障碍要留「不拉伸区」</t>
        </is>
      </c>
    </row>
    <row r="16">
      <c r="B16" s="33" t="inlineStr">
        <is>
          <t>障碍高度是随机的（28-72 像素连续变化），一张固定图直接拉伸会把树冠拉变形。所以引擎做三段切：贴着自由端的 18 像素原样保留，剩下的才拉伸。落地生长的障碍（新芽树），自由端在上；顶上垂下的（藤蔓），自由端在下。画的时候按它在游戏里的样子画就行，不用倒过来画。</t>
        </is>
      </c>
    </row>
    <row r="17"/>
    <row r="19">
      <c r="B19" s="3" t="inlineStr">
        <is>
          <t>skin.json 怎么写</t>
        </is>
      </c>
    </row>
    <row r="20" ht="13" customHeight="1">
      <c r="B20" s="34" t="inlineStr">
        <is>
          <t>{</t>
        </is>
      </c>
    </row>
    <row r="21" ht="13" customHeight="1">
      <c r="B21" s="34" t="inlineStr">
        <is>
          <t xml:space="preserve">  "background": "#BFE6F2",</t>
        </is>
      </c>
    </row>
    <row r="22" ht="13" customHeight="1">
      <c r="B22" s="34" t="inlineStr">
        <is>
          <t xml:space="preserve">  "sky": "sky.png",</t>
        </is>
      </c>
    </row>
    <row r="23" ht="13" customHeight="1">
      <c r="B23" s="34" t="inlineStr">
        <is>
          <t xml:space="preserve">  "far": "far.png",</t>
        </is>
      </c>
    </row>
    <row r="24" ht="13" customHeight="1">
      <c r="B24" s="34" t="inlineStr">
        <is>
          <t xml:space="preserve">  "far_parallax": 0.35,</t>
        </is>
      </c>
    </row>
    <row r="25" ht="13" customHeight="1">
      <c r="B25" s="34" t="inlineStr">
        <is>
          <t xml:space="preserve">  "obstacles": {</t>
        </is>
      </c>
    </row>
    <row r="26" ht="13" customHeight="1">
      <c r="B26" s="34" t="inlineStr">
        <is>
          <t xml:space="preserve">    "rect_bottom": {"file": "sprout.png", "cap": 18, "cap_at": "top"},</t>
        </is>
      </c>
    </row>
    <row r="27" ht="13" customHeight="1">
      <c r="B27" s="34" t="inlineStr">
        <is>
          <t xml:space="preserve">    "rect_top":    {"file": "vine.png",   "cap": 18, "cap_at": "bottom"},</t>
        </is>
      </c>
    </row>
    <row r="28" ht="13" customHeight="1">
      <c r="B28" s="34" t="inlineStr">
        <is>
          <t xml:space="preserve">    "tri_bottom":  {"file": "hill.png"},</t>
        </is>
      </c>
    </row>
    <row r="29" ht="13" customHeight="1">
      <c r="B29" s="34" t="inlineStr">
        <is>
          <t xml:space="preserve">    "tri_top":     {"file": "hill_down.png"},</t>
        </is>
      </c>
    </row>
    <row r="30" ht="13" customHeight="1">
      <c r="B30" s="34" t="inlineStr">
        <is>
          <t xml:space="preserve">    "ground":      {"file": "caterpillar.png"}</t>
        </is>
      </c>
    </row>
    <row r="31" ht="13" customHeight="1">
      <c r="B31" s="34" t="inlineStr">
        <is>
          <t xml:space="preserve">  },</t>
        </is>
      </c>
    </row>
    <row r="32" ht="13" customHeight="1">
      <c r="B32" s="34" t="inlineStr">
        <is>
          <t xml:space="preserve">  "pickup": {"coin": "butterfly.png"},</t>
        </is>
      </c>
    </row>
    <row r="33" ht="13" customHeight="1">
      <c r="B33" s="34" t="inlineStr">
        <is>
          <t xml:space="preserve">  "bird": "bird.png"</t>
        </is>
      </c>
    </row>
    <row r="34" ht="13" customHeight="1">
      <c r="B34" s="34" t="inlineStr">
        <is>
          <t>}</t>
        </is>
      </c>
    </row>
    <row r="36">
      <c r="B36" s="35" t="inlineStr">
        <is>
          <t>五个 obstacles 槽位可以少写：没写的槽位自动退回灰模方块，游戏照常跑。所以可以一次只画一个，边画边看。新做一个季节就复制整个文件夹改内容，再把 config.py 里 SkinConfig.name 改成新文件夹名。</t>
        </is>
      </c>
    </row>
    <row r="37"/>
    <row r="39">
      <c r="B39" s="3" t="inlineStr">
        <is>
          <t>生成一套空白模板</t>
        </is>
      </c>
    </row>
    <row r="40">
      <c r="B40" s="34" t="inlineStr">
        <is>
          <t>python3 make_templates.py 夏天</t>
        </is>
      </c>
    </row>
    <row r="41">
      <c r="B41" s="2" t="inlineStr">
        <is>
          <t>会在 assets/ 下按上面所有尺寸生成占位图和 skin.json，直接覆盖着画即可。</t>
        </is>
      </c>
    </row>
  </sheetData>
  <mergeCells count="5">
    <mergeCell ref="B41:H41"/>
    <mergeCell ref="B36:H37"/>
    <mergeCell ref="B2:H2"/>
    <mergeCell ref="B16:H17"/>
    <mergeCell ref="B3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12" customWidth="1" min="4" max="4"/>
    <col width="16" customWidth="1" min="5" max="5"/>
    <col width="44" customWidth="1" min="6" max="6"/>
    <col width="9" customWidth="1" min="7" max="7"/>
    <col width="11" customWidth="1" min="8" max="8"/>
    <col width="26" customWidth="1" min="9" max="9"/>
    <col width="16" customWidth="1" min="10" max="10"/>
    <col width="30" customWidth="1" min="11" max="11"/>
  </cols>
  <sheetData>
    <row r="1" ht="24" customHeight="1">
      <c r="A1" s="4" t="inlineStr">
        <is>
          <t>编号</t>
        </is>
      </c>
      <c r="B1" s="4" t="inlineStr">
        <is>
          <t>类别</t>
        </is>
      </c>
      <c r="C1" s="4" t="inlineStr">
        <is>
          <t>名称</t>
        </is>
      </c>
      <c r="D1" s="4" t="inlineStr">
        <is>
          <t>季节或节日</t>
        </is>
      </c>
      <c r="E1" s="4" t="inlineStr">
        <is>
          <t>碰撞形状</t>
        </is>
      </c>
      <c r="F1" s="4" t="inlineStr">
        <is>
          <t>用途 / 说明</t>
        </is>
      </c>
      <c r="G1" s="4" t="inlineStr">
        <is>
          <t>优先级</t>
        </is>
      </c>
      <c r="H1" s="4" t="inlineStr">
        <is>
          <t>状态</t>
        </is>
      </c>
      <c r="I1" s="4" t="inlineStr">
        <is>
          <t>文件路径</t>
        </is>
      </c>
      <c r="J1" s="4" t="inlineStr">
        <is>
          <t>关联镜头</t>
        </is>
      </c>
      <c r="K1" s="4" t="inlineStr">
        <is>
          <t>备注</t>
        </is>
      </c>
    </row>
    <row r="2" ht="30" customHeight="1">
      <c r="A2" s="17" t="inlineStr">
        <is>
          <t>E01</t>
        </is>
      </c>
      <c r="B2" s="17" t="inlineStr">
        <is>
          <t>角色</t>
        </is>
      </c>
      <c r="C2" s="17" t="inlineStr">
        <is>
          <t>鸟（占位方块）</t>
        </is>
      </c>
      <c r="D2" s="17" t="inlineStr">
        <is>
          <t>通用</t>
        </is>
      </c>
      <c r="E2" s="17" t="inlineStr">
        <is>
          <t>鸟矩形</t>
        </is>
      </c>
      <c r="F2" s="17" t="inlineStr">
        <is>
          <t>8x8 方块；换精灵时碰撞可略小于贴图</t>
        </is>
      </c>
      <c r="G2" s="17" t="inlineStr">
        <is>
          <t>P0</t>
        </is>
      </c>
      <c r="H2" s="12" t="inlineStr">
        <is>
          <t>已接入</t>
        </is>
      </c>
      <c r="I2" s="12" t="n"/>
      <c r="J2" s="18" t="inlineStr">
        <is>
          <t>V17 V20</t>
        </is>
      </c>
      <c r="K2" s="12" t="n"/>
    </row>
    <row r="3" ht="30" customHeight="1">
      <c r="A3" s="17" t="inlineStr">
        <is>
          <t>E02</t>
        </is>
      </c>
      <c r="B3" s="17" t="inlineStr">
        <is>
          <t>障碍</t>
        </is>
      </c>
      <c r="C3" s="17" t="inlineStr">
        <is>
          <t>双边矩形柱</t>
        </is>
      </c>
      <c r="D3" s="17" t="inlineStr">
        <is>
          <t>通用</t>
        </is>
      </c>
      <c r="E3" s="17" t="inlineStr">
        <is>
          <t>矩形柱双缺口</t>
        </is>
      </c>
      <c r="F3" s="17" t="inlineStr">
        <is>
          <t>上下都有实体，中间缺口。四季树干默认共用</t>
        </is>
      </c>
      <c r="G3" s="17" t="inlineStr">
        <is>
          <t>P0</t>
        </is>
      </c>
      <c r="H3" s="12" t="inlineStr">
        <is>
          <t>已接入</t>
        </is>
      </c>
      <c r="I3" s="12" t="n"/>
      <c r="J3" s="18" t="inlineStr">
        <is>
          <t>V17</t>
        </is>
      </c>
      <c r="K3" s="12" t="n"/>
    </row>
    <row r="4" ht="30" customHeight="1">
      <c r="A4" s="17" t="inlineStr">
        <is>
          <t>E03</t>
        </is>
      </c>
      <c r="B4" s="17" t="inlineStr">
        <is>
          <t>障碍</t>
        </is>
      </c>
      <c r="C4" s="17" t="inlineStr">
        <is>
          <t>单边矩形（下）</t>
        </is>
      </c>
      <c r="D4" s="17" t="inlineStr">
        <is>
          <t>通用</t>
        </is>
      </c>
      <c r="E4" s="17" t="inlineStr">
        <is>
          <t>仅下半</t>
        </is>
      </c>
      <c r="F4" s="17" t="inlineStr">
        <is>
          <t>地上长出来，从上方飞过</t>
        </is>
      </c>
      <c r="G4" s="17" t="inlineStr">
        <is>
          <t>P0</t>
        </is>
      </c>
      <c r="H4" s="12" t="inlineStr">
        <is>
          <t>已接入</t>
        </is>
      </c>
      <c r="I4" s="12" t="n"/>
      <c r="J4" s="18" t="inlineStr">
        <is>
          <t>V17</t>
        </is>
      </c>
      <c r="K4" s="12" t="n"/>
    </row>
    <row r="5" ht="30" customHeight="1">
      <c r="A5" s="17" t="inlineStr">
        <is>
          <t>E04</t>
        </is>
      </c>
      <c r="B5" s="17" t="inlineStr">
        <is>
          <t>障碍</t>
        </is>
      </c>
      <c r="C5" s="17" t="inlineStr">
        <is>
          <t>单边矩形（上）</t>
        </is>
      </c>
      <c r="D5" s="17" t="inlineStr">
        <is>
          <t>通用</t>
        </is>
      </c>
      <c r="E5" s="17" t="inlineStr">
        <is>
          <t>仅上半</t>
        </is>
      </c>
      <c r="F5" s="17" t="inlineStr">
        <is>
          <t>顶上垂下来，从下方钻过</t>
        </is>
      </c>
      <c r="G5" s="17" t="inlineStr">
        <is>
          <t>P0</t>
        </is>
      </c>
      <c r="H5" s="12" t="inlineStr">
        <is>
          <t>已接入</t>
        </is>
      </c>
      <c r="I5" s="12" t="n"/>
      <c r="J5" s="18" t="inlineStr">
        <is>
          <t>V17</t>
        </is>
      </c>
      <c r="K5" s="12" t="n"/>
    </row>
    <row r="6" ht="30" customHeight="1">
      <c r="A6" s="17" t="inlineStr">
        <is>
          <t>E05</t>
        </is>
      </c>
      <c r="B6" s="17" t="inlineStr">
        <is>
          <t>障碍</t>
        </is>
      </c>
      <c r="C6" s="17" t="inlineStr">
        <is>
          <t>双边三角</t>
        </is>
      </c>
      <c r="D6" s="17" t="inlineStr">
        <is>
          <t>通用</t>
        </is>
      </c>
      <c r="E6" s="17" t="inlineStr">
        <is>
          <t>三角朝上</t>
        </is>
      </c>
      <c r="F6" s="17" t="inlineStr">
        <is>
          <t>上下都是斜边，按斜边判碰撞</t>
        </is>
      </c>
      <c r="G6" s="17" t="inlineStr">
        <is>
          <t>P0</t>
        </is>
      </c>
      <c r="H6" s="12" t="inlineStr">
        <is>
          <t>已接入</t>
        </is>
      </c>
      <c r="I6" s="12" t="n"/>
      <c r="J6" s="18" t="inlineStr">
        <is>
          <t>V17</t>
        </is>
      </c>
      <c r="K6" s="12" t="n"/>
    </row>
    <row r="7" ht="30" customHeight="1">
      <c r="A7" s="17" t="inlineStr">
        <is>
          <t>E06</t>
        </is>
      </c>
      <c r="B7" s="17" t="inlineStr">
        <is>
          <t>障碍</t>
        </is>
      </c>
      <c r="C7" s="17" t="inlineStr">
        <is>
          <t>单边三角（下）</t>
        </is>
      </c>
      <c r="D7" s="17" t="inlineStr">
        <is>
          <t>通用</t>
        </is>
      </c>
      <c r="E7" s="17" t="inlineStr">
        <is>
          <t>三角朝上</t>
        </is>
      </c>
      <c r="F7" s="17" t="inlineStr">
        <is>
          <t>金字塔 / 雪山 / 圣诞树都用这个</t>
        </is>
      </c>
      <c r="G7" s="17" t="inlineStr">
        <is>
          <t>P0</t>
        </is>
      </c>
      <c r="H7" s="12" t="inlineStr">
        <is>
          <t>已接入</t>
        </is>
      </c>
      <c r="I7" s="12" t="n"/>
      <c r="J7" s="18" t="inlineStr">
        <is>
          <t>V17</t>
        </is>
      </c>
      <c r="K7" s="12" t="n"/>
    </row>
    <row r="8" ht="30" customHeight="1">
      <c r="A8" s="17" t="inlineStr">
        <is>
          <t>E07</t>
        </is>
      </c>
      <c r="B8" s="17" t="inlineStr">
        <is>
          <t>障碍</t>
        </is>
      </c>
      <c r="C8" s="17" t="inlineStr">
        <is>
          <t>单边三角（上）</t>
        </is>
      </c>
      <c r="D8" s="17" t="inlineStr">
        <is>
          <t>通用</t>
        </is>
      </c>
      <c r="E8" s="17" t="inlineStr">
        <is>
          <t>三角朝下</t>
        </is>
      </c>
      <c r="F8" s="17" t="inlineStr">
        <is>
          <t>倒挂冰锥、倒垂树冠</t>
        </is>
      </c>
      <c r="G8" s="17" t="inlineStr">
        <is>
          <t>P0</t>
        </is>
      </c>
      <c r="H8" s="12" t="inlineStr">
        <is>
          <t>已接入</t>
        </is>
      </c>
      <c r="I8" s="12" t="n"/>
      <c r="J8" s="18" t="inlineStr">
        <is>
          <t>V17</t>
        </is>
      </c>
      <c r="K8" s="12" t="n"/>
    </row>
    <row r="9" ht="30" customHeight="1">
      <c r="A9" s="17" t="inlineStr">
        <is>
          <t>E08</t>
        </is>
      </c>
      <c r="B9" s="17" t="inlineStr">
        <is>
          <t>障碍</t>
        </is>
      </c>
      <c r="C9" s="17" t="inlineStr">
        <is>
          <t>连绵横条</t>
        </is>
      </c>
      <c r="D9" s="17" t="inlineStr">
        <is>
          <t>通用</t>
        </is>
      </c>
      <c r="E9" s="17" t="inlineStr">
        <is>
          <t>连绵横条</t>
        </is>
      </c>
      <c r="F9" s="17" t="inlineStr">
        <is>
          <t>屏幕下方持续 5-10 秒；在场时只出上方单边障碍</t>
        </is>
      </c>
      <c r="G9" s="17" t="inlineStr">
        <is>
          <t>P0</t>
        </is>
      </c>
      <c r="H9" s="12" t="inlineStr">
        <is>
          <t>已接入</t>
        </is>
      </c>
      <c r="I9" s="12" t="n"/>
      <c r="J9" s="18" t="inlineStr">
        <is>
          <t>V17</t>
        </is>
      </c>
      <c r="K9" s="12" t="n"/>
    </row>
    <row r="10" ht="30" customHeight="1">
      <c r="A10" s="17" t="inlineStr">
        <is>
          <t>E09</t>
        </is>
      </c>
      <c r="B10" s="17" t="inlineStr">
        <is>
          <t>HUD</t>
        </is>
      </c>
      <c r="C10" s="17" t="inlineStr">
        <is>
          <t>四色羽毛时钟</t>
        </is>
      </c>
      <c r="D10" s="17" t="inlineStr">
        <is>
          <t>按时钟</t>
        </is>
      </c>
      <c r="E10" s="17" t="inlineStr">
        <is>
          <t>无碰撞装饰</t>
        </is>
      </c>
      <c r="F10" s="17" t="inlineStr">
        <is>
          <t>红=日期 金=时 绿=分 白=秒。IDLE 接真实时间，游戏内 60/60/24</t>
        </is>
      </c>
      <c r="G10" s="17" t="inlineStr">
        <is>
          <t>P0</t>
        </is>
      </c>
      <c r="H10" s="12" t="inlineStr">
        <is>
          <t>已接入</t>
        </is>
      </c>
      <c r="I10" s="12" t="n"/>
      <c r="J10" s="18" t="inlineStr">
        <is>
          <t>V23</t>
        </is>
      </c>
      <c r="K10" s="12" t="inlineStr">
        <is>
          <t>羽毛现在是占位菱形，等贴图替换</t>
        </is>
      </c>
    </row>
    <row r="11" ht="30" customHeight="1">
      <c r="A11" s="17" t="inlineStr">
        <is>
          <t>E10</t>
        </is>
      </c>
      <c r="B11" s="17" t="inlineStr">
        <is>
          <t>特效</t>
        </is>
      </c>
      <c r="C11" s="17" t="inlineStr">
        <is>
          <t>+1 绿色跳字</t>
        </is>
      </c>
      <c r="D11" s="17" t="inlineStr">
        <is>
          <t>通用</t>
        </is>
      </c>
      <c r="E11" s="17" t="inlineStr">
        <is>
          <t>无碰撞装饰</t>
        </is>
      </c>
      <c r="F11" s="17" t="inlineStr">
        <is>
          <t>秒数跳变或吃到金币时弹出，和分数同源</t>
        </is>
      </c>
      <c r="G11" s="17" t="inlineStr">
        <is>
          <t>P0</t>
        </is>
      </c>
      <c r="H11" s="12" t="inlineStr">
        <is>
          <t>已接入</t>
        </is>
      </c>
      <c r="I11" s="12" t="n"/>
      <c r="J11" s="18" t="inlineStr">
        <is>
          <t>V23</t>
        </is>
      </c>
      <c r="K11" s="12" t="n"/>
    </row>
    <row r="12" ht="30" customHeight="1">
      <c r="A12" s="17" t="inlineStr">
        <is>
          <t>E11</t>
        </is>
      </c>
      <c r="B12" s="17" t="inlineStr">
        <is>
          <t>HUD</t>
        </is>
      </c>
      <c r="C12" s="17" t="inlineStr">
        <is>
          <t>按键提示箭头</t>
        </is>
      </c>
      <c r="D12" s="17" t="inlineStr">
        <is>
          <t>通用</t>
        </is>
      </c>
      <c r="E12" s="17" t="inlineStr">
        <is>
          <t>无碰撞装饰</t>
        </is>
      </c>
      <c r="F12" s="17" t="inlineStr">
        <is>
          <t>IDLE 显示 start / fly，死亡显示 return 倒计时 / retry</t>
        </is>
      </c>
      <c r="G12" s="17" t="inlineStr">
        <is>
          <t>P0</t>
        </is>
      </c>
      <c r="H12" s="12" t="inlineStr">
        <is>
          <t>已接入</t>
        </is>
      </c>
      <c r="I12" s="12" t="n"/>
      <c r="J12" s="18" t="inlineStr">
        <is>
          <t>V21 V22</t>
        </is>
      </c>
      <c r="K12" s="12" t="n"/>
    </row>
    <row r="13" ht="30" customHeight="1">
      <c r="A13" s="17" t="inlineStr">
        <is>
          <t>E12</t>
        </is>
      </c>
      <c r="B13" s="17" t="inlineStr">
        <is>
          <t>角色</t>
        </is>
      </c>
      <c r="C13" s="17" t="inlineStr">
        <is>
          <t>死亡着色</t>
        </is>
      </c>
      <c r="D13" s="17" t="inlineStr">
        <is>
          <t>通用</t>
        </is>
      </c>
      <c r="E13" s="17" t="inlineStr">
        <is>
          <t>鸟矩形</t>
        </is>
      </c>
      <c r="F13" s="17" t="inlineStr">
        <is>
          <t>坠落时换色，碰撞体不变</t>
        </is>
      </c>
      <c r="G13" s="17" t="inlineStr">
        <is>
          <t>P0</t>
        </is>
      </c>
      <c r="H13" s="12" t="inlineStr">
        <is>
          <t>已接入</t>
        </is>
      </c>
      <c r="I13" s="12" t="n"/>
      <c r="J13" s="18" t="inlineStr">
        <is>
          <t>V22</t>
        </is>
      </c>
      <c r="K13" s="12" t="n"/>
    </row>
    <row r="14" ht="30" customHeight="1">
      <c r="A14" s="19" t="inlineStr">
        <is>
          <t>B01</t>
        </is>
      </c>
      <c r="B14" s="19" t="inlineStr">
        <is>
          <t>背景</t>
        </is>
      </c>
      <c r="C14" s="19" t="inlineStr">
        <is>
          <t>春-天空调色</t>
        </is>
      </c>
      <c r="D14" s="19" t="inlineStr">
        <is>
          <t>春</t>
        </is>
      </c>
      <c r="E14" s="19" t="inlineStr">
        <is>
          <t>无碰撞装饰</t>
        </is>
      </c>
      <c r="F14" s="19" t="inlineStr">
        <is>
          <t>远景层，不参与碰撞</t>
        </is>
      </c>
      <c r="G14" s="19" t="inlineStr">
        <is>
          <t>P1</t>
        </is>
      </c>
      <c r="H14" s="12" t="inlineStr">
        <is>
          <t>未开始</t>
        </is>
      </c>
      <c r="I14" s="12" t="n"/>
      <c r="J14" s="20" t="inlineStr">
        <is>
          <t>V02 V06</t>
        </is>
      </c>
      <c r="K14" s="12" t="n"/>
    </row>
    <row r="15" ht="30" customHeight="1">
      <c r="A15" s="19" t="inlineStr">
        <is>
          <t>B02</t>
        </is>
      </c>
      <c r="B15" s="19" t="inlineStr">
        <is>
          <t>背景</t>
        </is>
      </c>
      <c r="C15" s="19" t="inlineStr">
        <is>
          <t>春-绿色草甸地面</t>
        </is>
      </c>
      <c r="D15" s="19" t="inlineStr">
        <is>
          <t>春</t>
        </is>
      </c>
      <c r="E15" s="19" t="inlineStr">
        <is>
          <t>无碰撞装饰</t>
        </is>
      </c>
      <c r="F15" s="19" t="inlineStr">
        <is>
          <t>底部装饰条；要撞就改用 E08 连绵横条</t>
        </is>
      </c>
      <c r="G15" s="19" t="inlineStr">
        <is>
          <t>P1</t>
        </is>
      </c>
      <c r="H15" s="12" t="inlineStr">
        <is>
          <t>未开始</t>
        </is>
      </c>
      <c r="I15" s="12" t="n"/>
      <c r="J15" s="20" t="inlineStr">
        <is>
          <t>V02 V13</t>
        </is>
      </c>
      <c r="K15" s="12" t="n"/>
    </row>
    <row r="16" ht="30" customHeight="1">
      <c r="A16" s="19" t="inlineStr">
        <is>
          <t>B03</t>
        </is>
      </c>
      <c r="B16" s="19" t="inlineStr">
        <is>
          <t>背景</t>
        </is>
      </c>
      <c r="C16" s="19" t="inlineStr">
        <is>
          <t>春-远景（新芽林）</t>
        </is>
      </c>
      <c r="D16" s="19" t="inlineStr">
        <is>
          <t>春</t>
        </is>
      </c>
      <c r="E16" s="19" t="inlineStr">
        <is>
          <t>无碰撞装饰</t>
        </is>
      </c>
      <c r="F16" s="19" t="inlineStr">
        <is>
          <t>比碰撞柱更靠后、更大</t>
        </is>
      </c>
      <c r="G16" s="19" t="inlineStr">
        <is>
          <t>P1</t>
        </is>
      </c>
      <c r="H16" s="12" t="inlineStr">
        <is>
          <t>未开始</t>
        </is>
      </c>
      <c r="I16" s="12" t="n"/>
      <c r="J16" s="20" t="inlineStr">
        <is>
          <t>V02</t>
        </is>
      </c>
      <c r="K16" s="12" t="n"/>
    </row>
    <row r="17" ht="30" customHeight="1">
      <c r="A17" s="19" t="inlineStr">
        <is>
          <t>B04</t>
        </is>
      </c>
      <c r="B17" s="19" t="inlineStr">
        <is>
          <t>背景</t>
        </is>
      </c>
      <c r="C17" s="19" t="inlineStr">
        <is>
          <t>夏-天空调色</t>
        </is>
      </c>
      <c r="D17" s="19" t="inlineStr">
        <is>
          <t>夏</t>
        </is>
      </c>
      <c r="E17" s="19" t="inlineStr">
        <is>
          <t>无碰撞装饰</t>
        </is>
      </c>
      <c r="F17" s="19" t="inlineStr">
        <is>
          <t>远景层</t>
        </is>
      </c>
      <c r="G17" s="19" t="inlineStr">
        <is>
          <t>P1</t>
        </is>
      </c>
      <c r="H17" s="12" t="inlineStr">
        <is>
          <t>未开始</t>
        </is>
      </c>
      <c r="I17" s="12" t="n"/>
      <c r="J17" s="20" t="inlineStr">
        <is>
          <t>V03 V06</t>
        </is>
      </c>
      <c r="K17" s="12" t="n"/>
    </row>
    <row r="18" ht="30" customHeight="1">
      <c r="A18" s="19" t="inlineStr">
        <is>
          <t>B05</t>
        </is>
      </c>
      <c r="B18" s="19" t="inlineStr">
        <is>
          <t>背景</t>
        </is>
      </c>
      <c r="C18" s="19" t="inlineStr">
        <is>
          <t>夏-地面</t>
        </is>
      </c>
      <c r="D18" s="19" t="inlineStr">
        <is>
          <t>夏</t>
        </is>
      </c>
      <c r="E18" s="19" t="inlineStr">
        <is>
          <t>无碰撞装饰</t>
        </is>
      </c>
      <c r="F18" s="19" t="inlineStr">
        <is>
          <t>深绿草地</t>
        </is>
      </c>
      <c r="G18" s="19" t="inlineStr">
        <is>
          <t>P1</t>
        </is>
      </c>
      <c r="H18" s="12" t="inlineStr">
        <is>
          <t>未开始</t>
        </is>
      </c>
      <c r="I18" s="12" t="n"/>
      <c r="J18" s="20" t="inlineStr">
        <is>
          <t>V03</t>
        </is>
      </c>
      <c r="K18" s="12" t="n"/>
    </row>
    <row r="19" ht="30" customHeight="1">
      <c r="A19" s="19" t="inlineStr">
        <is>
          <t>B06</t>
        </is>
      </c>
      <c r="B19" s="19" t="inlineStr">
        <is>
          <t>背景</t>
        </is>
      </c>
      <c r="C19" s="19" t="inlineStr">
        <is>
          <t>夏-远景（浓荫）</t>
        </is>
      </c>
      <c r="D19" s="19" t="inlineStr">
        <is>
          <t>夏</t>
        </is>
      </c>
      <c r="E19" s="19" t="inlineStr">
        <is>
          <t>无碰撞装饰</t>
        </is>
      </c>
      <c r="F19" s="19" t="inlineStr"/>
      <c r="G19" s="19" t="inlineStr">
        <is>
          <t>P1</t>
        </is>
      </c>
      <c r="H19" s="12" t="inlineStr">
        <is>
          <t>未开始</t>
        </is>
      </c>
      <c r="I19" s="12" t="n"/>
      <c r="J19" s="20" t="inlineStr">
        <is>
          <t>V03</t>
        </is>
      </c>
      <c r="K19" s="12" t="n"/>
    </row>
    <row r="20" ht="30" customHeight="1">
      <c r="A20" s="19" t="inlineStr">
        <is>
          <t>B07</t>
        </is>
      </c>
      <c r="B20" s="19" t="inlineStr">
        <is>
          <t>背景</t>
        </is>
      </c>
      <c r="C20" s="19" t="inlineStr">
        <is>
          <t>秋-天空调色</t>
        </is>
      </c>
      <c r="D20" s="19" t="inlineStr">
        <is>
          <t>秋</t>
        </is>
      </c>
      <c r="E20" s="19" t="inlineStr">
        <is>
          <t>无碰撞装饰</t>
        </is>
      </c>
      <c r="F20" s="19" t="inlineStr">
        <is>
          <t>远景层</t>
        </is>
      </c>
      <c r="G20" s="19" t="inlineStr">
        <is>
          <t>P1</t>
        </is>
      </c>
      <c r="H20" s="12" t="inlineStr">
        <is>
          <t>未开始</t>
        </is>
      </c>
      <c r="I20" s="12" t="n"/>
      <c r="J20" s="20" t="inlineStr">
        <is>
          <t>V04 V06</t>
        </is>
      </c>
      <c r="K20" s="12" t="n"/>
    </row>
    <row r="21" ht="30" customHeight="1">
      <c r="A21" s="19" t="inlineStr">
        <is>
          <t>B08</t>
        </is>
      </c>
      <c r="B21" s="19" t="inlineStr">
        <is>
          <t>背景</t>
        </is>
      </c>
      <c r="C21" s="19" t="inlineStr">
        <is>
          <t>秋-金黄草地</t>
        </is>
      </c>
      <c r="D21" s="19" t="inlineStr">
        <is>
          <t>秋</t>
        </is>
      </c>
      <c r="E21" s="19" t="inlineStr">
        <is>
          <t>无碰撞装饰</t>
        </is>
      </c>
      <c r="F21" s="19" t="inlineStr">
        <is>
          <t>第五幕转场的落点</t>
        </is>
      </c>
      <c r="G21" s="19" t="inlineStr">
        <is>
          <t>P1</t>
        </is>
      </c>
      <c r="H21" s="12" t="inlineStr">
        <is>
          <t>未开始</t>
        </is>
      </c>
      <c r="I21" s="12" t="n"/>
      <c r="J21" s="20" t="inlineStr">
        <is>
          <t>V04 V13</t>
        </is>
      </c>
      <c r="K21" s="12" t="n"/>
    </row>
    <row r="22" ht="30" customHeight="1">
      <c r="A22" s="19" t="inlineStr">
        <is>
          <t>B09</t>
        </is>
      </c>
      <c r="B22" s="19" t="inlineStr">
        <is>
          <t>背景</t>
        </is>
      </c>
      <c r="C22" s="19" t="inlineStr">
        <is>
          <t>秋-远景（红叶林）</t>
        </is>
      </c>
      <c r="D22" s="19" t="inlineStr">
        <is>
          <t>秋</t>
        </is>
      </c>
      <c r="E22" s="19" t="inlineStr">
        <is>
          <t>无碰撞装饰</t>
        </is>
      </c>
      <c r="F22" s="19" t="inlineStr"/>
      <c r="G22" s="19" t="inlineStr">
        <is>
          <t>P1</t>
        </is>
      </c>
      <c r="H22" s="12" t="inlineStr">
        <is>
          <t>未开始</t>
        </is>
      </c>
      <c r="I22" s="12" t="n"/>
      <c r="J22" s="20" t="inlineStr">
        <is>
          <t>V04</t>
        </is>
      </c>
      <c r="K22" s="12" t="n"/>
    </row>
    <row r="23" ht="30" customHeight="1">
      <c r="A23" s="19" t="inlineStr">
        <is>
          <t>B10</t>
        </is>
      </c>
      <c r="B23" s="19" t="inlineStr">
        <is>
          <t>背景</t>
        </is>
      </c>
      <c r="C23" s="19" t="inlineStr">
        <is>
          <t>冬-天空调色</t>
        </is>
      </c>
      <c r="D23" s="19" t="inlineStr">
        <is>
          <t>冬</t>
        </is>
      </c>
      <c r="E23" s="19" t="inlineStr">
        <is>
          <t>无碰撞装饰</t>
        </is>
      </c>
      <c r="F23" s="19" t="inlineStr">
        <is>
          <t>远景层</t>
        </is>
      </c>
      <c r="G23" s="19" t="inlineStr">
        <is>
          <t>P1</t>
        </is>
      </c>
      <c r="H23" s="12" t="inlineStr">
        <is>
          <t>未开始</t>
        </is>
      </c>
      <c r="I23" s="12" t="n"/>
      <c r="J23" s="20" t="inlineStr">
        <is>
          <t>V05 V06</t>
        </is>
      </c>
      <c r="K23" s="12" t="n"/>
    </row>
    <row r="24" ht="30" customHeight="1">
      <c r="A24" s="19" t="inlineStr">
        <is>
          <t>B11</t>
        </is>
      </c>
      <c r="B24" s="19" t="inlineStr">
        <is>
          <t>背景</t>
        </is>
      </c>
      <c r="C24" s="19" t="inlineStr">
        <is>
          <t>冬-雪地</t>
        </is>
      </c>
      <c r="D24" s="19" t="inlineStr">
        <is>
          <t>冬</t>
        </is>
      </c>
      <c r="E24" s="19" t="inlineStr">
        <is>
          <t>无碰撞装饰</t>
        </is>
      </c>
      <c r="F24" s="19" t="inlineStr"/>
      <c r="G24" s="19" t="inlineStr">
        <is>
          <t>P1</t>
        </is>
      </c>
      <c r="H24" s="12" t="inlineStr">
        <is>
          <t>未开始</t>
        </is>
      </c>
      <c r="I24" s="12" t="n"/>
      <c r="J24" s="20" t="inlineStr">
        <is>
          <t>V05</t>
        </is>
      </c>
      <c r="K24" s="12" t="n"/>
    </row>
    <row r="25" ht="30" customHeight="1">
      <c r="A25" s="19" t="inlineStr">
        <is>
          <t>B12</t>
        </is>
      </c>
      <c r="B25" s="19" t="inlineStr">
        <is>
          <t>背景</t>
        </is>
      </c>
      <c r="C25" s="19" t="inlineStr">
        <is>
          <t>冬-远景（雪林）</t>
        </is>
      </c>
      <c r="D25" s="19" t="inlineStr">
        <is>
          <t>冬</t>
        </is>
      </c>
      <c r="E25" s="19" t="inlineStr">
        <is>
          <t>无碰撞装饰</t>
        </is>
      </c>
      <c r="F25" s="19" t="inlineStr"/>
      <c r="G25" s="19" t="inlineStr">
        <is>
          <t>P1</t>
        </is>
      </c>
      <c r="H25" s="12" t="inlineStr">
        <is>
          <t>未开始</t>
        </is>
      </c>
      <c r="I25" s="12" t="n"/>
      <c r="J25" s="20" t="inlineStr">
        <is>
          <t>V05</t>
        </is>
      </c>
      <c r="K25" s="12" t="n"/>
    </row>
    <row r="26" ht="30" customHeight="1">
      <c r="A26" s="21" t="inlineStr">
        <is>
          <t>B13</t>
        </is>
      </c>
      <c r="B26" s="21" t="inlineStr">
        <is>
          <t>背景</t>
        </is>
      </c>
      <c r="C26" s="21" t="inlineStr">
        <is>
          <t>傍晚-夕阳与云彩</t>
        </is>
      </c>
      <c r="D26" s="21" t="inlineStr">
        <is>
          <t>傍晚</t>
        </is>
      </c>
      <c r="E26" s="21" t="inlineStr">
        <is>
          <t>无碰撞装饰</t>
        </is>
      </c>
      <c r="F26" s="21" t="inlineStr">
        <is>
          <t>春秋傍晚共用；云要能横向缓动</t>
        </is>
      </c>
      <c r="G26" s="21" t="inlineStr">
        <is>
          <t>P2</t>
        </is>
      </c>
      <c r="H26" s="12" t="inlineStr">
        <is>
          <t>未开始</t>
        </is>
      </c>
      <c r="I26" s="12" t="n"/>
      <c r="J26" s="22" t="inlineStr">
        <is>
          <t>V13</t>
        </is>
      </c>
      <c r="K26" s="12" t="n"/>
    </row>
    <row r="27" ht="30" customHeight="1">
      <c r="A27" s="21" t="inlineStr">
        <is>
          <t>B14</t>
        </is>
      </c>
      <c r="B27" s="21" t="inlineStr">
        <is>
          <t>背景</t>
        </is>
      </c>
      <c r="C27" s="21" t="inlineStr">
        <is>
          <t>夜晚-星空</t>
        </is>
      </c>
      <c r="D27" s="21" t="inlineStr">
        <is>
          <t>夜晚</t>
        </is>
      </c>
      <c r="E27" s="21" t="inlineStr">
        <is>
          <t>无碰撞装饰</t>
        </is>
      </c>
      <c r="F27" s="21" t="inlineStr">
        <is>
          <t>夏夜烟火晚会的底</t>
        </is>
      </c>
      <c r="G27" s="21" t="inlineStr">
        <is>
          <t>P2</t>
        </is>
      </c>
      <c r="H27" s="12" t="inlineStr">
        <is>
          <t>未开始</t>
        </is>
      </c>
      <c r="I27" s="12" t="n"/>
      <c r="J27" s="22" t="inlineStr">
        <is>
          <t>V14</t>
        </is>
      </c>
      <c r="K27" s="12" t="n"/>
    </row>
    <row r="28" ht="30" customHeight="1">
      <c r="A28" s="21" t="inlineStr">
        <is>
          <t>B15</t>
        </is>
      </c>
      <c r="B28" s="21" t="inlineStr">
        <is>
          <t>背景</t>
        </is>
      </c>
      <c r="C28" s="21" t="inlineStr">
        <is>
          <t>冬夜-雪山与极光</t>
        </is>
      </c>
      <c r="D28" s="21" t="inlineStr">
        <is>
          <t>夜晚</t>
        </is>
      </c>
      <c r="E28" s="21" t="inlineStr">
        <is>
          <t>无碰撞装饰</t>
        </is>
      </c>
      <c r="F28" s="21" t="inlineStr">
        <is>
          <t>极光动效见 F06</t>
        </is>
      </c>
      <c r="G28" s="21" t="inlineStr">
        <is>
          <t>P2</t>
        </is>
      </c>
      <c r="H28" s="12" t="inlineStr">
        <is>
          <t>未开始</t>
        </is>
      </c>
      <c r="I28" s="12" t="n"/>
      <c r="J28" s="22" t="inlineStr">
        <is>
          <t>V14</t>
        </is>
      </c>
      <c r="K28" s="12" t="n"/>
    </row>
    <row r="29" ht="30" customHeight="1">
      <c r="A29" s="21" t="inlineStr">
        <is>
          <t>B16</t>
        </is>
      </c>
      <c r="B29" s="21" t="inlineStr">
        <is>
          <t>背景</t>
        </is>
      </c>
      <c r="C29" s="21" t="inlineStr">
        <is>
          <t>亚运-太阳纹背景</t>
        </is>
      </c>
      <c r="D29" s="21" t="inlineStr">
        <is>
          <t>亚运</t>
        </is>
      </c>
      <c r="E29" s="21" t="inlineStr">
        <is>
          <t>无碰撞装饰</t>
        </is>
      </c>
      <c r="F29" s="21" t="inlineStr">
        <is>
          <t>远景层；亚运会太阳纹标志，不用奥运五环</t>
        </is>
      </c>
      <c r="G29" s="21" t="inlineStr">
        <is>
          <t>P2</t>
        </is>
      </c>
      <c r="H29" s="12" t="inlineStr">
        <is>
          <t>未开始</t>
        </is>
      </c>
      <c r="I29" s="12" t="n"/>
      <c r="J29" s="22" t="inlineStr">
        <is>
          <t>V12</t>
        </is>
      </c>
      <c r="K29" s="12" t="n"/>
    </row>
    <row r="30" ht="30" customHeight="1">
      <c r="A30" s="19" t="inlineStr">
        <is>
          <t>O01</t>
        </is>
      </c>
      <c r="B30" s="19" t="inlineStr">
        <is>
          <t>障碍</t>
        </is>
      </c>
      <c r="C30" s="19" t="inlineStr">
        <is>
          <t>荆棘藤蔓</t>
        </is>
      </c>
      <c r="D30" s="19" t="inlineStr">
        <is>
          <t>春</t>
        </is>
      </c>
      <c r="E30" s="19" t="inlineStr">
        <is>
          <t>仅上半</t>
        </is>
      </c>
      <c r="F30" s="19" t="inlineStr">
        <is>
          <t>从顶上垂下，鸟从下方钻过</t>
        </is>
      </c>
      <c r="G30" s="19" t="inlineStr">
        <is>
          <t>P1</t>
        </is>
      </c>
      <c r="H30" s="12" t="inlineStr">
        <is>
          <t>未开始</t>
        </is>
      </c>
      <c r="I30" s="12" t="n"/>
      <c r="J30" s="20" t="inlineStr">
        <is>
          <t>V02</t>
        </is>
      </c>
      <c r="K30" s="12" t="n"/>
    </row>
    <row r="31" ht="30" customHeight="1">
      <c r="A31" s="19" t="inlineStr">
        <is>
          <t>O02</t>
        </is>
      </c>
      <c r="B31" s="19" t="inlineStr">
        <is>
          <t>障碍</t>
        </is>
      </c>
      <c r="C31" s="19" t="inlineStr">
        <is>
          <t>新芽树</t>
        </is>
      </c>
      <c r="D31" s="19" t="inlineStr">
        <is>
          <t>春</t>
        </is>
      </c>
      <c r="E31" s="19" t="inlineStr">
        <is>
          <t>仅下半</t>
        </is>
      </c>
      <c r="F31" s="19" t="inlineStr">
        <is>
          <t>地上矮苗，从上方飞过</t>
        </is>
      </c>
      <c r="G31" s="19" t="inlineStr">
        <is>
          <t>P1</t>
        </is>
      </c>
      <c r="H31" s="12" t="inlineStr">
        <is>
          <t>未开始</t>
        </is>
      </c>
      <c r="I31" s="12" t="n"/>
      <c r="J31" s="20" t="inlineStr">
        <is>
          <t>V02</t>
        </is>
      </c>
      <c r="K31" s="12" t="n"/>
    </row>
    <row r="32" ht="30" customHeight="1">
      <c r="A32" s="19" t="inlineStr">
        <is>
          <t>O03</t>
        </is>
      </c>
      <c r="B32" s="19" t="inlineStr">
        <is>
          <t>障碍</t>
        </is>
      </c>
      <c r="C32" s="19" t="inlineStr">
        <is>
          <t>毛毛虫</t>
        </is>
      </c>
      <c r="D32" s="19" t="inlineStr">
        <is>
          <t>春</t>
        </is>
      </c>
      <c r="E32" s="19" t="inlineStr">
        <is>
          <t>连绵横条</t>
        </is>
      </c>
      <c r="F32" s="19" t="inlineStr">
        <is>
          <t>贴地爬行一长段，正好用连绵横条</t>
        </is>
      </c>
      <c r="G32" s="19" t="inlineStr">
        <is>
          <t>P1</t>
        </is>
      </c>
      <c r="H32" s="12" t="inlineStr">
        <is>
          <t>未开始</t>
        </is>
      </c>
      <c r="I32" s="12" t="n"/>
      <c r="J32" s="20" t="inlineStr">
        <is>
          <t>V02</t>
        </is>
      </c>
      <c r="K32" s="12" t="n"/>
    </row>
    <row r="33" ht="30" customHeight="1">
      <c r="A33" s="19" t="inlineStr">
        <is>
          <t>O04</t>
        </is>
      </c>
      <c r="B33" s="19" t="inlineStr">
        <is>
          <t>障碍</t>
        </is>
      </c>
      <c r="C33" s="19" t="inlineStr">
        <is>
          <t>大树</t>
        </is>
      </c>
      <c r="D33" s="19" t="inlineStr">
        <is>
          <t>夏</t>
        </is>
      </c>
      <c r="E33" s="19" t="inlineStr">
        <is>
          <t>矩形柱双缺口</t>
        </is>
      </c>
      <c r="F33" s="19" t="inlineStr">
        <is>
          <t>树冠可画出碰撞体外，只看不撞</t>
        </is>
      </c>
      <c r="G33" s="19" t="inlineStr">
        <is>
          <t>P1</t>
        </is>
      </c>
      <c r="H33" s="12" t="inlineStr">
        <is>
          <t>未开始</t>
        </is>
      </c>
      <c r="I33" s="12" t="n"/>
      <c r="J33" s="20" t="inlineStr">
        <is>
          <t>V03</t>
        </is>
      </c>
      <c r="K33" s="12" t="n"/>
    </row>
    <row r="34" ht="30" customHeight="1">
      <c r="A34" s="19" t="inlineStr">
        <is>
          <t>O05</t>
        </is>
      </c>
      <c r="B34" s="19" t="inlineStr">
        <is>
          <t>障碍</t>
        </is>
      </c>
      <c r="C34" s="19" t="inlineStr">
        <is>
          <t>金字塔</t>
        </is>
      </c>
      <c r="D34" s="19" t="inlineStr">
        <is>
          <t>夏</t>
        </is>
      </c>
      <c r="E34" s="19" t="inlineStr">
        <is>
          <t>三角朝上</t>
        </is>
      </c>
      <c r="F34" s="19" t="inlineStr">
        <is>
          <t>和圣诞树、雪山共用同一份三角几何</t>
        </is>
      </c>
      <c r="G34" s="19" t="inlineStr">
        <is>
          <t>P1</t>
        </is>
      </c>
      <c r="H34" s="12" t="inlineStr">
        <is>
          <t>未开始</t>
        </is>
      </c>
      <c r="I34" s="12" t="n"/>
      <c r="J34" s="20" t="inlineStr">
        <is>
          <t>V03</t>
        </is>
      </c>
      <c r="K34" s="12" t="n"/>
    </row>
    <row r="35" ht="30" customHeight="1">
      <c r="A35" s="19" t="inlineStr">
        <is>
          <t>O06</t>
        </is>
      </c>
      <c r="B35" s="19" t="inlineStr">
        <is>
          <t>障碍</t>
        </is>
      </c>
      <c r="C35" s="19" t="inlineStr">
        <is>
          <t>风车</t>
        </is>
      </c>
      <c r="D35" s="19" t="inlineStr">
        <is>
          <t>秋</t>
        </is>
      </c>
      <c r="E35" s="19" t="inlineStr">
        <is>
          <t>仅下半</t>
        </is>
      </c>
      <c r="F35" s="19" t="inlineStr">
        <is>
          <t>塔身参与碰撞，叶片当装饰不撞</t>
        </is>
      </c>
      <c r="G35" s="19" t="inlineStr">
        <is>
          <t>P1</t>
        </is>
      </c>
      <c r="H35" s="12" t="inlineStr">
        <is>
          <t>未开始</t>
        </is>
      </c>
      <c r="I35" s="12" t="n"/>
      <c r="J35" s="20" t="inlineStr">
        <is>
          <t>V04</t>
        </is>
      </c>
      <c r="K35" s="12" t="n"/>
    </row>
    <row r="36" ht="30" customHeight="1">
      <c r="A36" s="19" t="inlineStr">
        <is>
          <t>O07</t>
        </is>
      </c>
      <c r="B36" s="19" t="inlineStr">
        <is>
          <t>障碍</t>
        </is>
      </c>
      <c r="C36" s="19" t="inlineStr">
        <is>
          <t>红树</t>
        </is>
      </c>
      <c r="D36" s="19" t="inlineStr">
        <is>
          <t>秋</t>
        </is>
      </c>
      <c r="E36" s="19" t="inlineStr">
        <is>
          <t>矩形柱双缺口</t>
        </is>
      </c>
      <c r="F36" s="19" t="inlineStr">
        <is>
          <t>与 O04 共用几何，只换贴图</t>
        </is>
      </c>
      <c r="G36" s="19" t="inlineStr">
        <is>
          <t>P1</t>
        </is>
      </c>
      <c r="H36" s="12" t="inlineStr">
        <is>
          <t>未开始</t>
        </is>
      </c>
      <c r="I36" s="12" t="n"/>
      <c r="J36" s="20" t="inlineStr">
        <is>
          <t>V04</t>
        </is>
      </c>
      <c r="K36" s="12" t="n"/>
    </row>
    <row r="37" ht="30" customHeight="1">
      <c r="A37" s="19" t="inlineStr">
        <is>
          <t>O08</t>
        </is>
      </c>
      <c r="B37" s="19" t="inlineStr">
        <is>
          <t>障碍</t>
        </is>
      </c>
      <c r="C37" s="19" t="inlineStr">
        <is>
          <t>麦穗</t>
        </is>
      </c>
      <c r="D37" s="19" t="inlineStr">
        <is>
          <t>秋</t>
        </is>
      </c>
      <c r="E37" s="19" t="inlineStr">
        <is>
          <t>连绵横条</t>
        </is>
      </c>
      <c r="F37" s="19" t="inlineStr">
        <is>
          <t>成片麦田贴地一长段</t>
        </is>
      </c>
      <c r="G37" s="19" t="inlineStr">
        <is>
          <t>P1</t>
        </is>
      </c>
      <c r="H37" s="12" t="inlineStr">
        <is>
          <t>未开始</t>
        </is>
      </c>
      <c r="I37" s="12" t="n"/>
      <c r="J37" s="20" t="inlineStr">
        <is>
          <t>V04</t>
        </is>
      </c>
      <c r="K37" s="12" t="n"/>
    </row>
    <row r="38" ht="30" customHeight="1">
      <c r="A38" s="19" t="inlineStr">
        <is>
          <t>O09</t>
        </is>
      </c>
      <c r="B38" s="19" t="inlineStr">
        <is>
          <t>障碍</t>
        </is>
      </c>
      <c r="C38" s="19" t="inlineStr">
        <is>
          <t>光秃秃的树</t>
        </is>
      </c>
      <c r="D38" s="19" t="inlineStr">
        <is>
          <t>冬</t>
        </is>
      </c>
      <c r="E38" s="19" t="inlineStr">
        <is>
          <t>矩形柱双缺口</t>
        </is>
      </c>
      <c r="F38" s="19" t="inlineStr">
        <is>
          <t>与 O04 共用几何</t>
        </is>
      </c>
      <c r="G38" s="19" t="inlineStr">
        <is>
          <t>P1</t>
        </is>
      </c>
      <c r="H38" s="12" t="inlineStr">
        <is>
          <t>未开始</t>
        </is>
      </c>
      <c r="I38" s="12" t="n"/>
      <c r="J38" s="20" t="inlineStr">
        <is>
          <t>V05</t>
        </is>
      </c>
      <c r="K38" s="12" t="n"/>
    </row>
    <row r="39" ht="30" customHeight="1">
      <c r="A39" s="19" t="inlineStr">
        <is>
          <t>O10</t>
        </is>
      </c>
      <c r="B39" s="19" t="inlineStr">
        <is>
          <t>障碍</t>
        </is>
      </c>
      <c r="C39" s="19" t="inlineStr">
        <is>
          <t>雪山</t>
        </is>
      </c>
      <c r="D39" s="19" t="inlineStr">
        <is>
          <t>冬</t>
        </is>
      </c>
      <c r="E39" s="19" t="inlineStr">
        <is>
          <t>三角朝上</t>
        </is>
      </c>
      <c r="F39" s="19" t="inlineStr">
        <is>
          <t>与 O05 共用几何</t>
        </is>
      </c>
      <c r="G39" s="19" t="inlineStr">
        <is>
          <t>P1</t>
        </is>
      </c>
      <c r="H39" s="12" t="inlineStr">
        <is>
          <t>未开始</t>
        </is>
      </c>
      <c r="I39" s="12" t="n"/>
      <c r="J39" s="20" t="inlineStr">
        <is>
          <t>V05</t>
        </is>
      </c>
      <c r="K39" s="12" t="n"/>
    </row>
    <row r="40" ht="30" customHeight="1">
      <c r="A40" s="21" t="inlineStr">
        <is>
          <t>O11</t>
        </is>
      </c>
      <c r="B40" s="21" t="inlineStr">
        <is>
          <t>障碍</t>
        </is>
      </c>
      <c r="C40" s="21" t="inlineStr">
        <is>
          <t>圣诞树</t>
        </is>
      </c>
      <c r="D40" s="21" t="inlineStr">
        <is>
          <t>圣诞</t>
        </is>
      </c>
      <c r="E40" s="21" t="inlineStr">
        <is>
          <t>三角朝上</t>
        </is>
      </c>
      <c r="F40" s="21" t="inlineStr">
        <is>
          <t>挂饰和灯可伸出三角外，只画不撞</t>
        </is>
      </c>
      <c r="G40" s="21" t="inlineStr">
        <is>
          <t>P2</t>
        </is>
      </c>
      <c r="H40" s="12" t="inlineStr">
        <is>
          <t>未开始</t>
        </is>
      </c>
      <c r="I40" s="12" t="n"/>
      <c r="J40" s="22" t="inlineStr">
        <is>
          <t>V07</t>
        </is>
      </c>
      <c r="K40" s="12" t="n"/>
    </row>
    <row r="41" ht="30" customHeight="1">
      <c r="A41" s="21" t="inlineStr">
        <is>
          <t>O12</t>
        </is>
      </c>
      <c r="B41" s="21" t="inlineStr">
        <is>
          <t>障碍</t>
        </is>
      </c>
      <c r="C41" s="21" t="inlineStr">
        <is>
          <t>鞭炮串</t>
        </is>
      </c>
      <c r="D41" s="21" t="inlineStr">
        <is>
          <t>春节</t>
        </is>
      </c>
      <c r="E41" s="21" t="inlineStr">
        <is>
          <t>仅上半</t>
        </is>
      </c>
      <c r="F41" s="21" t="inlineStr">
        <is>
          <t>理解为成串垂下；若是要“穿过鞭炮”请改形状</t>
        </is>
      </c>
      <c r="G41" s="21" t="inlineStr">
        <is>
          <t>P2</t>
        </is>
      </c>
      <c r="H41" s="12" t="inlineStr">
        <is>
          <t>未开始</t>
        </is>
      </c>
      <c r="I41" s="12" t="n"/>
      <c r="J41" s="22" t="inlineStr">
        <is>
          <t>V08</t>
        </is>
      </c>
      <c r="K41" s="12" t="inlineStr">
        <is>
          <t>形状待你确认</t>
        </is>
      </c>
    </row>
    <row r="42" ht="30" customHeight="1">
      <c r="A42" s="21" t="inlineStr">
        <is>
          <t>O13</t>
        </is>
      </c>
      <c r="B42" s="21" t="inlineStr">
        <is>
          <t>障碍</t>
        </is>
      </c>
      <c r="C42" s="21" t="inlineStr">
        <is>
          <t>舞狮</t>
        </is>
      </c>
      <c r="D42" s="21" t="inlineStr">
        <is>
          <t>春节</t>
        </is>
      </c>
      <c r="E42" s="21" t="inlineStr">
        <is>
          <t>连绵横条</t>
        </is>
      </c>
      <c r="F42" s="21" t="inlineStr">
        <is>
          <t>贴地移动一长段</t>
        </is>
      </c>
      <c r="G42" s="21" t="inlineStr">
        <is>
          <t>P2</t>
        </is>
      </c>
      <c r="H42" s="12" t="inlineStr">
        <is>
          <t>未开始</t>
        </is>
      </c>
      <c r="I42" s="12" t="n"/>
      <c r="J42" s="22" t="inlineStr">
        <is>
          <t>V08</t>
        </is>
      </c>
      <c r="K42" s="12" t="n"/>
    </row>
    <row r="43" ht="30" customHeight="1">
      <c r="A43" s="21" t="inlineStr">
        <is>
          <t>O14</t>
        </is>
      </c>
      <c r="B43" s="21" t="inlineStr">
        <is>
          <t>障碍</t>
        </is>
      </c>
      <c r="C43" s="21" t="inlineStr">
        <is>
          <t>中国结</t>
        </is>
      </c>
      <c r="D43" s="21" t="inlineStr">
        <is>
          <t>春节</t>
        </is>
      </c>
      <c r="E43" s="21" t="inlineStr">
        <is>
          <t>仅上半</t>
        </is>
      </c>
      <c r="F43" s="21" t="inlineStr">
        <is>
          <t>垂挂</t>
        </is>
      </c>
      <c r="G43" s="21" t="inlineStr">
        <is>
          <t>P2</t>
        </is>
      </c>
      <c r="H43" s="12" t="inlineStr">
        <is>
          <t>未开始</t>
        </is>
      </c>
      <c r="I43" s="12" t="n"/>
      <c r="J43" s="22" t="inlineStr">
        <is>
          <t>V08</t>
        </is>
      </c>
      <c r="K43" s="12" t="n"/>
    </row>
    <row r="44" ht="30" customHeight="1">
      <c r="A44" s="21" t="inlineStr">
        <is>
          <t>O15</t>
        </is>
      </c>
      <c r="B44" s="21" t="inlineStr">
        <is>
          <t>障碍</t>
        </is>
      </c>
      <c r="C44" s="21" t="inlineStr">
        <is>
          <t>灯会花灯</t>
        </is>
      </c>
      <c r="D44" s="21" t="inlineStr">
        <is>
          <t>元宵</t>
        </is>
      </c>
      <c r="E44" s="21" t="inlineStr">
        <is>
          <t>仅上半</t>
        </is>
      </c>
      <c r="F44" s="21" t="inlineStr">
        <is>
          <t>成排垂挂的灯</t>
        </is>
      </c>
      <c r="G44" s="21" t="inlineStr">
        <is>
          <t>P2</t>
        </is>
      </c>
      <c r="H44" s="12" t="inlineStr">
        <is>
          <t>未开始</t>
        </is>
      </c>
      <c r="I44" s="12" t="n"/>
      <c r="J44" s="22" t="inlineStr">
        <is>
          <t>V09</t>
        </is>
      </c>
      <c r="K44" s="12" t="n"/>
    </row>
    <row r="45" ht="30" customHeight="1">
      <c r="A45" s="21" t="inlineStr">
        <is>
          <t>O16</t>
        </is>
      </c>
      <c r="B45" s="21" t="inlineStr">
        <is>
          <t>障碍</t>
        </is>
      </c>
      <c r="C45" s="21" t="inlineStr">
        <is>
          <t>玫瑰花</t>
        </is>
      </c>
      <c r="D45" s="21" t="inlineStr">
        <is>
          <t>纪念日</t>
        </is>
      </c>
      <c r="E45" s="21" t="inlineStr">
        <is>
          <t>仅下半</t>
        </is>
      </c>
      <c r="F45" s="21" t="inlineStr">
        <is>
          <t>地上长出</t>
        </is>
      </c>
      <c r="G45" s="21" t="inlineStr">
        <is>
          <t>P2</t>
        </is>
      </c>
      <c r="H45" s="12" t="inlineStr">
        <is>
          <t>未开始</t>
        </is>
      </c>
      <c r="I45" s="12" t="n"/>
      <c r="J45" s="22" t="inlineStr">
        <is>
          <t>V10</t>
        </is>
      </c>
      <c r="K45" s="12" t="n"/>
    </row>
    <row r="46" ht="30" customHeight="1">
      <c r="A46" s="21" t="inlineStr">
        <is>
          <t>O17</t>
        </is>
      </c>
      <c r="B46" s="21" t="inlineStr">
        <is>
          <t>障碍</t>
        </is>
      </c>
      <c r="C46" s="21" t="inlineStr">
        <is>
          <t>礼袍</t>
        </is>
      </c>
      <c r="D46" s="21" t="inlineStr">
        <is>
          <t>纪念日</t>
        </is>
      </c>
      <c r="E46" s="21" t="inlineStr">
        <is>
          <t>仅上半</t>
        </is>
      </c>
      <c r="F46" s="21" t="inlineStr">
        <is>
          <t>按垂挂理解；若是立在地上请改仅下半</t>
        </is>
      </c>
      <c r="G46" s="21" t="inlineStr">
        <is>
          <t>P2</t>
        </is>
      </c>
      <c r="H46" s="12" t="inlineStr">
        <is>
          <t>未开始</t>
        </is>
      </c>
      <c r="I46" s="12" t="n"/>
      <c r="J46" s="22" t="inlineStr">
        <is>
          <t>V10</t>
        </is>
      </c>
      <c r="K46" s="12" t="inlineStr">
        <is>
          <t>形状待你确认</t>
        </is>
      </c>
    </row>
    <row r="47" ht="30" customHeight="1">
      <c r="A47" s="21" t="inlineStr">
        <is>
          <t>O18</t>
        </is>
      </c>
      <c r="B47" s="21" t="inlineStr">
        <is>
          <t>障碍</t>
        </is>
      </c>
      <c r="C47" s="21" t="inlineStr">
        <is>
          <t>篮板</t>
        </is>
      </c>
      <c r="D47" s="21" t="inlineStr">
        <is>
          <t>亚运</t>
        </is>
      </c>
      <c r="E47" s="21" t="inlineStr">
        <is>
          <t>仅上半</t>
        </is>
      </c>
      <c r="F47" s="21" t="inlineStr">
        <is>
          <t>高处横板</t>
        </is>
      </c>
      <c r="G47" s="21" t="inlineStr">
        <is>
          <t>P2</t>
        </is>
      </c>
      <c r="H47" s="12" t="inlineStr">
        <is>
          <t>未开始</t>
        </is>
      </c>
      <c r="I47" s="12" t="n"/>
      <c r="J47" s="22" t="inlineStr">
        <is>
          <t>V12</t>
        </is>
      </c>
      <c r="K47" s="12" t="n"/>
    </row>
    <row r="48" ht="30" customHeight="1">
      <c r="A48" s="21" t="inlineStr">
        <is>
          <t>O19</t>
        </is>
      </c>
      <c r="B48" s="21" t="inlineStr">
        <is>
          <t>障碍</t>
        </is>
      </c>
      <c r="C48" s="21" t="inlineStr">
        <is>
          <t>排球网兜</t>
        </is>
      </c>
      <c r="D48" s="21" t="inlineStr">
        <is>
          <t>亚运</t>
        </is>
      </c>
      <c r="E48" s="21" t="inlineStr">
        <is>
          <t>矩形柱双缺口</t>
        </is>
      </c>
      <c r="F48" s="21" t="inlineStr">
        <is>
          <t>按“网中间留洞”理解，缺口即洞</t>
        </is>
      </c>
      <c r="G48" s="21" t="inlineStr">
        <is>
          <t>P2</t>
        </is>
      </c>
      <c r="H48" s="12" t="inlineStr">
        <is>
          <t>未开始</t>
        </is>
      </c>
      <c r="I48" s="12" t="n"/>
      <c r="J48" s="22" t="inlineStr">
        <is>
          <t>V12</t>
        </is>
      </c>
      <c r="K48" s="12" t="inlineStr">
        <is>
          <t>形状待你确认</t>
        </is>
      </c>
    </row>
    <row r="49" ht="30" customHeight="1">
      <c r="A49" s="19" t="inlineStr">
        <is>
          <t>K01</t>
        </is>
      </c>
      <c r="B49" s="19" t="inlineStr">
        <is>
          <t>拾取物</t>
        </is>
      </c>
      <c r="C49" s="19" t="inlineStr">
        <is>
          <t>蝴蝶</t>
        </is>
      </c>
      <c r="D49" s="19" t="inlineStr">
        <is>
          <t>春</t>
        </is>
      </c>
      <c r="E49" s="19" t="inlineStr">
        <is>
          <t>拾取触发</t>
        </is>
      </c>
      <c r="F49" s="19" t="inlineStr">
        <is>
          <t>碰到加分，不挡路</t>
        </is>
      </c>
      <c r="G49" s="19" t="inlineStr">
        <is>
          <t>P1</t>
        </is>
      </c>
      <c r="H49" s="12" t="inlineStr">
        <is>
          <t>已接入</t>
        </is>
      </c>
      <c r="I49" s="12" t="n"/>
      <c r="J49" s="20" t="inlineStr">
        <is>
          <t>V02</t>
        </is>
      </c>
      <c r="K49" s="12" t="inlineStr">
        <is>
          <t>仅手动模式出现；IDLE 不生成，避免加分让时钟显示失真</t>
        </is>
      </c>
    </row>
    <row r="50" ht="30" customHeight="1">
      <c r="A50" s="19" t="inlineStr">
        <is>
          <t>K02</t>
        </is>
      </c>
      <c r="B50" s="19" t="inlineStr">
        <is>
          <t>拾取物</t>
        </is>
      </c>
      <c r="C50" s="19" t="inlineStr">
        <is>
          <t>棒冰</t>
        </is>
      </c>
      <c r="D50" s="19" t="inlineStr">
        <is>
          <t>夏</t>
        </is>
      </c>
      <c r="E50" s="19" t="inlineStr">
        <is>
          <t>拾取触发</t>
        </is>
      </c>
      <c r="F50" s="19" t="inlineStr"/>
      <c r="G50" s="19" t="inlineStr">
        <is>
          <t>P1</t>
        </is>
      </c>
      <c r="H50" s="12" t="inlineStr">
        <is>
          <t>已接入</t>
        </is>
      </c>
      <c r="I50" s="12" t="n"/>
      <c r="J50" s="20" t="inlineStr">
        <is>
          <t>V03</t>
        </is>
      </c>
      <c r="K50" s="12" t="inlineStr">
        <is>
          <t>仅手动模式出现；IDLE 不生成，避免加分让时钟显示失真</t>
        </is>
      </c>
    </row>
    <row r="51" ht="30" customHeight="1">
      <c r="A51" s="19" t="inlineStr">
        <is>
          <t>K03</t>
        </is>
      </c>
      <c r="B51" s="19" t="inlineStr">
        <is>
          <t>拾取物</t>
        </is>
      </c>
      <c r="C51" s="19" t="inlineStr">
        <is>
          <t>枫叶</t>
        </is>
      </c>
      <c r="D51" s="19" t="inlineStr">
        <is>
          <t>秋</t>
        </is>
      </c>
      <c r="E51" s="19" t="inlineStr">
        <is>
          <t>拾取触发</t>
        </is>
      </c>
      <c r="F51" s="19" t="inlineStr"/>
      <c r="G51" s="19" t="inlineStr">
        <is>
          <t>P1</t>
        </is>
      </c>
      <c r="H51" s="12" t="inlineStr">
        <is>
          <t>已接入</t>
        </is>
      </c>
      <c r="I51" s="12" t="n"/>
      <c r="J51" s="20" t="inlineStr">
        <is>
          <t>V04</t>
        </is>
      </c>
      <c r="K51" s="12" t="inlineStr">
        <is>
          <t>仅手动模式出现；IDLE 不生成，避免加分让时钟显示失真</t>
        </is>
      </c>
    </row>
    <row r="52" ht="30" customHeight="1">
      <c r="A52" s="19" t="inlineStr">
        <is>
          <t>K04</t>
        </is>
      </c>
      <c r="B52" s="19" t="inlineStr">
        <is>
          <t>拾取物</t>
        </is>
      </c>
      <c r="C52" s="19" t="inlineStr">
        <is>
          <t>手套</t>
        </is>
      </c>
      <c r="D52" s="19" t="inlineStr">
        <is>
          <t>冬</t>
        </is>
      </c>
      <c r="E52" s="19" t="inlineStr">
        <is>
          <t>拾取触发</t>
        </is>
      </c>
      <c r="F52" s="19" t="inlineStr"/>
      <c r="G52" s="19" t="inlineStr">
        <is>
          <t>P1</t>
        </is>
      </c>
      <c r="H52" s="12" t="inlineStr">
        <is>
          <t>已接入</t>
        </is>
      </c>
      <c r="I52" s="12" t="n"/>
      <c r="J52" s="20" t="inlineStr">
        <is>
          <t>V05</t>
        </is>
      </c>
      <c r="K52" s="12" t="inlineStr">
        <is>
          <t>仅手动模式出现；IDLE 不生成，避免加分让时钟显示失真</t>
        </is>
      </c>
    </row>
    <row r="53" ht="30" customHeight="1">
      <c r="A53" s="21" t="inlineStr">
        <is>
          <t>K05</t>
        </is>
      </c>
      <c r="B53" s="21" t="inlineStr">
        <is>
          <t>拾取物</t>
        </is>
      </c>
      <c r="C53" s="21" t="inlineStr">
        <is>
          <t>圣诞礼盒</t>
        </is>
      </c>
      <c r="D53" s="21" t="inlineStr">
        <is>
          <t>圣诞</t>
        </is>
      </c>
      <c r="E53" s="21" t="inlineStr">
        <is>
          <t>拾取触发</t>
        </is>
      </c>
      <c r="F53" s="21" t="inlineStr"/>
      <c r="G53" s="21" t="inlineStr">
        <is>
          <t>P2</t>
        </is>
      </c>
      <c r="H53" s="12" t="inlineStr">
        <is>
          <t>已接入</t>
        </is>
      </c>
      <c r="I53" s="12" t="n"/>
      <c r="J53" s="22" t="inlineStr">
        <is>
          <t>V07</t>
        </is>
      </c>
      <c r="K53" s="12" t="inlineStr">
        <is>
          <t>仅手动模式出现；IDLE 不生成，避免加分让时钟显示失真</t>
        </is>
      </c>
    </row>
    <row r="54" ht="30" customHeight="1">
      <c r="A54" s="21" t="inlineStr">
        <is>
          <t>K06</t>
        </is>
      </c>
      <c r="B54" s="21" t="inlineStr">
        <is>
          <t>拾取物</t>
        </is>
      </c>
      <c r="C54" s="21" t="inlineStr">
        <is>
          <t>汤圆</t>
        </is>
      </c>
      <c r="D54" s="21" t="inlineStr">
        <is>
          <t>元宵</t>
        </is>
      </c>
      <c r="E54" s="21" t="inlineStr">
        <is>
          <t>拾取触发</t>
        </is>
      </c>
      <c r="F54" s="21" t="inlineStr"/>
      <c r="G54" s="21" t="inlineStr">
        <is>
          <t>P2</t>
        </is>
      </c>
      <c r="H54" s="12" t="inlineStr">
        <is>
          <t>已接入</t>
        </is>
      </c>
      <c r="I54" s="12" t="n"/>
      <c r="J54" s="22" t="inlineStr">
        <is>
          <t>V09</t>
        </is>
      </c>
      <c r="K54" s="12" t="inlineStr">
        <is>
          <t>仅手动模式出现；IDLE 不生成，避免加分让时钟显示失真</t>
        </is>
      </c>
    </row>
    <row r="55" ht="30" customHeight="1">
      <c r="A55" s="21" t="inlineStr">
        <is>
          <t>K07</t>
        </is>
      </c>
      <c r="B55" s="21" t="inlineStr">
        <is>
          <t>拾取物</t>
        </is>
      </c>
      <c r="C55" s="21" t="inlineStr">
        <is>
          <t>钻戒</t>
        </is>
      </c>
      <c r="D55" s="21" t="inlineStr">
        <is>
          <t>纪念日</t>
        </is>
      </c>
      <c r="E55" s="21" t="inlineStr">
        <is>
          <t>拾取触发</t>
        </is>
      </c>
      <c r="F55" s="21" t="inlineStr">
        <is>
          <t>可给更高分或触发特效</t>
        </is>
      </c>
      <c r="G55" s="21" t="inlineStr">
        <is>
          <t>P2</t>
        </is>
      </c>
      <c r="H55" s="12" t="inlineStr">
        <is>
          <t>已接入</t>
        </is>
      </c>
      <c r="I55" s="12" t="n"/>
      <c r="J55" s="22" t="inlineStr">
        <is>
          <t>V10</t>
        </is>
      </c>
      <c r="K55" s="12" t="inlineStr">
        <is>
          <t>仅手动模式出现；IDLE 不生成，避免加分让时钟显示失真</t>
        </is>
      </c>
    </row>
    <row r="56" ht="30" customHeight="1">
      <c r="A56" s="21" t="inlineStr">
        <is>
          <t>K08</t>
        </is>
      </c>
      <c r="B56" s="21" t="inlineStr">
        <is>
          <t>拾取物</t>
        </is>
      </c>
      <c r="C56" s="21" t="inlineStr">
        <is>
          <t>足球</t>
        </is>
      </c>
      <c r="D56" s="21" t="inlineStr">
        <is>
          <t>亚运</t>
        </is>
      </c>
      <c r="E56" s="21" t="inlineStr">
        <is>
          <t>拾取触发</t>
        </is>
      </c>
      <c r="F56" s="21" t="inlineStr"/>
      <c r="G56" s="21" t="inlineStr">
        <is>
          <t>P2</t>
        </is>
      </c>
      <c r="H56" s="12" t="inlineStr">
        <is>
          <t>已接入</t>
        </is>
      </c>
      <c r="I56" s="12" t="n"/>
      <c r="J56" s="22" t="inlineStr">
        <is>
          <t>V12</t>
        </is>
      </c>
      <c r="K56" s="12" t="inlineStr">
        <is>
          <t>仅手动模式出现；IDLE 不生成，避免加分让时钟显示失真</t>
        </is>
      </c>
    </row>
    <row r="57" ht="30" customHeight="1">
      <c r="A57" s="21" t="inlineStr">
        <is>
          <t>F01</t>
        </is>
      </c>
      <c r="B57" s="21" t="inlineStr">
        <is>
          <t>特效</t>
        </is>
      </c>
      <c r="C57" s="21" t="inlineStr">
        <is>
          <t>季节转场（草甸→金黄）</t>
        </is>
      </c>
      <c r="D57" s="21" t="inlineStr">
        <is>
          <t>傍晚</t>
        </is>
      </c>
      <c r="E57" s="21" t="inlineStr">
        <is>
          <t>无碰撞装饰</t>
        </is>
      </c>
      <c r="F57" s="21" t="inlineStr">
        <is>
          <t>擦除或渐变，10 帧内完成即可</t>
        </is>
      </c>
      <c r="G57" s="21" t="inlineStr">
        <is>
          <t>P2</t>
        </is>
      </c>
      <c r="H57" s="12" t="inlineStr">
        <is>
          <t>未开始</t>
        </is>
      </c>
      <c r="I57" s="12" t="n"/>
      <c r="J57" s="22" t="inlineStr">
        <is>
          <t>V13</t>
        </is>
      </c>
      <c r="K57" s="12" t="n"/>
    </row>
    <row r="58" ht="30" customHeight="1">
      <c r="A58" s="21" t="inlineStr">
        <is>
          <t>F02</t>
        </is>
      </c>
      <c r="B58" s="21" t="inlineStr">
        <is>
          <t>特效</t>
        </is>
      </c>
      <c r="C58" s="21" t="inlineStr">
        <is>
          <t>古诗飘字</t>
        </is>
      </c>
      <c r="D58" s="21" t="inlineStr">
        <is>
          <t>元宵</t>
        </is>
      </c>
      <c r="E58" s="21" t="inlineStr">
        <is>
          <t>无碰撞装饰</t>
        </is>
      </c>
      <c r="F58" s="21" t="inlineStr">
        <is>
          <t>文字从右飘到左，半透明</t>
        </is>
      </c>
      <c r="G58" s="21" t="inlineStr">
        <is>
          <t>P2</t>
        </is>
      </c>
      <c r="H58" s="12" t="inlineStr">
        <is>
          <t>未开始</t>
        </is>
      </c>
      <c r="I58" s="12" t="n"/>
      <c r="J58" s="22" t="inlineStr">
        <is>
          <t>V09</t>
        </is>
      </c>
      <c r="K58" s="12" t="n"/>
    </row>
    <row r="59" ht="30" customHeight="1">
      <c r="A59" s="21" t="inlineStr">
        <is>
          <t>F03</t>
        </is>
      </c>
      <c r="B59" s="21" t="inlineStr">
        <is>
          <t>特效</t>
        </is>
      </c>
      <c r="C59" s="21" t="inlineStr">
        <is>
          <t>Happy New Year 跳字</t>
        </is>
      </c>
      <c r="D59" s="21" t="inlineStr">
        <is>
          <t>新年</t>
        </is>
      </c>
      <c r="E59" s="21" t="inlineStr">
        <is>
          <t>无碰撞装饰</t>
        </is>
      </c>
      <c r="F59" s="21" t="inlineStr">
        <is>
          <t>可复用 E10 的跳字逻辑放大版</t>
        </is>
      </c>
      <c r="G59" s="21" t="inlineStr">
        <is>
          <t>P2</t>
        </is>
      </c>
      <c r="H59" s="12" t="inlineStr">
        <is>
          <t>未开始</t>
        </is>
      </c>
      <c r="I59" s="12" t="n"/>
      <c r="J59" s="22" t="inlineStr">
        <is>
          <t>V11</t>
        </is>
      </c>
      <c r="K59" s="12" t="n"/>
    </row>
    <row r="60" ht="30" customHeight="1">
      <c r="A60" s="21" t="inlineStr">
        <is>
          <t>F04</t>
        </is>
      </c>
      <c r="B60" s="21" t="inlineStr">
        <is>
          <t>特效</t>
        </is>
      </c>
      <c r="C60" s="21" t="inlineStr">
        <is>
          <t>烟花礼花全屏</t>
        </is>
      </c>
      <c r="D60" s="21" t="inlineStr">
        <is>
          <t>新年</t>
        </is>
      </c>
      <c r="E60" s="21" t="inlineStr">
        <is>
          <t>无碰撞装饰</t>
        </is>
      </c>
      <c r="F60" s="21" t="inlineStr">
        <is>
          <t>约 10 秒；是特效不是场景，玩法不变</t>
        </is>
      </c>
      <c r="G60" s="21" t="inlineStr">
        <is>
          <t>P2</t>
        </is>
      </c>
      <c r="H60" s="12" t="inlineStr">
        <is>
          <t>未开始</t>
        </is>
      </c>
      <c r="I60" s="12" t="n"/>
      <c r="J60" s="22" t="inlineStr">
        <is>
          <t>V11</t>
        </is>
      </c>
      <c r="K60" s="12" t="n"/>
    </row>
    <row r="61" ht="30" customHeight="1">
      <c r="A61" s="21" t="inlineStr">
        <is>
          <t>F05</t>
        </is>
      </c>
      <c r="B61" s="21" t="inlineStr">
        <is>
          <t>特效</t>
        </is>
      </c>
      <c r="C61" s="21" t="inlineStr">
        <is>
          <t>星空烟火晚会</t>
        </is>
      </c>
      <c r="D61" s="21" t="inlineStr">
        <is>
          <t>夜晚</t>
        </is>
      </c>
      <c r="E61" s="21" t="inlineStr">
        <is>
          <t>无碰撞装饰</t>
        </is>
      </c>
      <c r="F61" s="21" t="inlineStr">
        <is>
          <t>比 F04 安静，做氛围</t>
        </is>
      </c>
      <c r="G61" s="21" t="inlineStr">
        <is>
          <t>P2</t>
        </is>
      </c>
      <c r="H61" s="12" t="inlineStr">
        <is>
          <t>未开始</t>
        </is>
      </c>
      <c r="I61" s="12" t="n"/>
      <c r="J61" s="22" t="inlineStr">
        <is>
          <t>V14</t>
        </is>
      </c>
      <c r="K61" s="12" t="n"/>
    </row>
    <row r="62" ht="30" customHeight="1">
      <c r="A62" s="21" t="inlineStr">
        <is>
          <t>F06</t>
        </is>
      </c>
      <c r="B62" s="21" t="inlineStr">
        <is>
          <t>特效</t>
        </is>
      </c>
      <c r="C62" s="21" t="inlineStr">
        <is>
          <t>极光</t>
        </is>
      </c>
      <c r="D62" s="21" t="inlineStr">
        <is>
          <t>夜晚</t>
        </is>
      </c>
      <c r="E62" s="21" t="inlineStr">
        <is>
          <t>无碰撞装饰</t>
        </is>
      </c>
      <c r="F62" s="21" t="inlineStr">
        <is>
          <t>缓慢飘动的色带</t>
        </is>
      </c>
      <c r="G62" s="21" t="inlineStr">
        <is>
          <t>P2</t>
        </is>
      </c>
      <c r="H62" s="12" t="inlineStr">
        <is>
          <t>未开始</t>
        </is>
      </c>
      <c r="I62" s="12" t="n"/>
      <c r="J62" s="22" t="inlineStr">
        <is>
          <t>V14</t>
        </is>
      </c>
      <c r="K62" s="12" t="n"/>
    </row>
    <row r="63" ht="30" customHeight="1">
      <c r="A63" s="21" t="inlineStr">
        <is>
          <t>F07</t>
        </is>
      </c>
      <c r="B63" s="21" t="inlineStr">
        <is>
          <t>特效</t>
        </is>
      </c>
      <c r="C63" s="21" t="inlineStr">
        <is>
          <t>收尾字幕闪现</t>
        </is>
      </c>
      <c r="D63" s="21" t="inlineStr">
        <is>
          <t>通用</t>
        </is>
      </c>
      <c r="E63" s="21" t="inlineStr">
        <is>
          <t>无碰撞装饰</t>
        </is>
      </c>
      <c r="F63" s="21" t="inlineStr">
        <is>
          <t>memory / scenery / friends 逐个闪过</t>
        </is>
      </c>
      <c r="G63" s="21" t="inlineStr">
        <is>
          <t>P2</t>
        </is>
      </c>
      <c r="H63" s="12" t="inlineStr">
        <is>
          <t>未开始</t>
        </is>
      </c>
      <c r="I63" s="12" t="n"/>
      <c r="J63" s="22" t="inlineStr">
        <is>
          <t>V15</t>
        </is>
      </c>
      <c r="K63" s="12" t="n"/>
    </row>
    <row r="64" ht="30" customHeight="1">
      <c r="A64" s="19" t="inlineStr">
        <is>
          <t>T01</t>
        </is>
      </c>
      <c r="B64" s="19" t="inlineStr">
        <is>
          <t>文案</t>
        </is>
      </c>
      <c r="C64" s="19" t="inlineStr">
        <is>
          <t>What is time?</t>
        </is>
      </c>
      <c r="D64" s="19" t="inlineStr">
        <is>
          <t>通用</t>
        </is>
      </c>
      <c r="E64" s="19" t="inlineStr">
        <is>
          <t>无碰撞装饰</t>
        </is>
      </c>
      <c r="F64" s="19" t="inlineStr">
        <is>
          <t>第一幕开场、第七幕结尾共用同一张</t>
        </is>
      </c>
      <c r="G64" s="19" t="inlineStr">
        <is>
          <t>P1</t>
        </is>
      </c>
      <c r="H64" s="12" t="inlineStr">
        <is>
          <t>未开始</t>
        </is>
      </c>
      <c r="I64" s="12" t="n"/>
      <c r="J64" s="20" t="inlineStr">
        <is>
          <t>V01 V16</t>
        </is>
      </c>
      <c r="K64" s="12" t="n"/>
    </row>
    <row r="65" ht="30" customHeight="1">
      <c r="A65" s="19" t="inlineStr">
        <is>
          <t>T02</t>
        </is>
      </c>
      <c r="B65" s="19" t="inlineStr">
        <is>
          <t>文案</t>
        </is>
      </c>
      <c r="C65" s="19" t="inlineStr">
        <is>
          <t>幕间标题 Seasons</t>
        </is>
      </c>
      <c r="D65" s="19" t="inlineStr">
        <is>
          <t>通用</t>
        </is>
      </c>
      <c r="E65" s="19" t="inlineStr">
        <is>
          <t>无碰撞装饰</t>
        </is>
      </c>
      <c r="F65" s="19" t="inlineStr"/>
      <c r="G65" s="19" t="inlineStr">
        <is>
          <t>P1</t>
        </is>
      </c>
      <c r="H65" s="12" t="inlineStr">
        <is>
          <t>未开始</t>
        </is>
      </c>
      <c r="I65" s="12" t="n"/>
      <c r="J65" s="20" t="inlineStr">
        <is>
          <t>V02</t>
        </is>
      </c>
      <c r="K65" s="12" t="n"/>
    </row>
    <row r="66" ht="30" customHeight="1">
      <c r="A66" s="21" t="inlineStr">
        <is>
          <t>T03</t>
        </is>
      </c>
      <c r="B66" s="21" t="inlineStr">
        <is>
          <t>文案</t>
        </is>
      </c>
      <c r="C66" s="21" t="inlineStr">
        <is>
          <t>幕间标题 Festivals</t>
        </is>
      </c>
      <c r="D66" s="21" t="inlineStr">
        <is>
          <t>通用</t>
        </is>
      </c>
      <c r="E66" s="21" t="inlineStr">
        <is>
          <t>无碰撞装饰</t>
        </is>
      </c>
      <c r="F66" s="21" t="inlineStr"/>
      <c r="G66" s="21" t="inlineStr">
        <is>
          <t>P2</t>
        </is>
      </c>
      <c r="H66" s="12" t="inlineStr">
        <is>
          <t>未开始</t>
        </is>
      </c>
      <c r="I66" s="12" t="n"/>
      <c r="J66" s="22" t="inlineStr">
        <is>
          <t>V07</t>
        </is>
      </c>
      <c r="K66" s="12" t="n"/>
    </row>
    <row r="67" ht="30" customHeight="1">
      <c r="A67" s="21" t="inlineStr">
        <is>
          <t>T04</t>
        </is>
      </c>
      <c r="B67" s="21" t="inlineStr">
        <is>
          <t>文案</t>
        </is>
      </c>
      <c r="C67" s="21" t="inlineStr">
        <is>
          <t>幕间标题 Meaningful days</t>
        </is>
      </c>
      <c r="D67" s="21" t="inlineStr">
        <is>
          <t>通用</t>
        </is>
      </c>
      <c r="E67" s="21" t="inlineStr">
        <is>
          <t>无碰撞装饰</t>
        </is>
      </c>
      <c r="F67" s="21" t="inlineStr"/>
      <c r="G67" s="21" t="inlineStr">
        <is>
          <t>P2</t>
        </is>
      </c>
      <c r="H67" s="12" t="inlineStr">
        <is>
          <t>未开始</t>
        </is>
      </c>
      <c r="I67" s="12" t="n"/>
      <c r="J67" s="22" t="inlineStr">
        <is>
          <t>V10</t>
        </is>
      </c>
      <c r="K67" s="12" t="n"/>
    </row>
    <row r="68" ht="30" customHeight="1">
      <c r="A68" s="21" t="inlineStr">
        <is>
          <t>T05</t>
        </is>
      </c>
      <c r="B68" s="21" t="inlineStr">
        <is>
          <t>文案</t>
        </is>
      </c>
      <c r="C68" s="21" t="inlineStr">
        <is>
          <t>幕间标题 Scenery</t>
        </is>
      </c>
      <c r="D68" s="21" t="inlineStr">
        <is>
          <t>通用</t>
        </is>
      </c>
      <c r="E68" s="21" t="inlineStr">
        <is>
          <t>无碰撞装饰</t>
        </is>
      </c>
      <c r="F68" s="21" t="inlineStr"/>
      <c r="G68" s="21" t="inlineStr">
        <is>
          <t>P2</t>
        </is>
      </c>
      <c r="H68" s="12" t="inlineStr">
        <is>
          <t>未开始</t>
        </is>
      </c>
      <c r="I68" s="12" t="n"/>
      <c r="J68" s="22" t="inlineStr">
        <is>
          <t>V13</t>
        </is>
      </c>
      <c r="K68" s="12" t="n"/>
    </row>
    <row r="69" ht="30" customHeight="1">
      <c r="A69" s="21" t="inlineStr">
        <is>
          <t>T06</t>
        </is>
      </c>
      <c r="B69" s="21" t="inlineStr">
        <is>
          <t>文案</t>
        </is>
      </c>
      <c r="C69" s="21" t="inlineStr">
        <is>
          <t>Time is not a number, it is …</t>
        </is>
      </c>
      <c r="D69" s="21" t="inlineStr">
        <is>
          <t>通用</t>
        </is>
      </c>
      <c r="E69" s="21" t="inlineStr">
        <is>
          <t>无碰撞装饰</t>
        </is>
      </c>
      <c r="F69" s="21" t="inlineStr">
        <is>
          <t>第六幕主句</t>
        </is>
      </c>
      <c r="G69" s="21" t="inlineStr">
        <is>
          <t>P2</t>
        </is>
      </c>
      <c r="H69" s="12" t="inlineStr">
        <is>
          <t>未开始</t>
        </is>
      </c>
      <c r="I69" s="12" t="n"/>
      <c r="J69" s="22" t="inlineStr">
        <is>
          <t>V15</t>
        </is>
      </c>
      <c r="K69" s="12" t="n"/>
    </row>
    <row r="70" ht="30" customHeight="1">
      <c r="A70" s="21" t="inlineStr">
        <is>
          <t>U01</t>
        </is>
      </c>
      <c r="B70" s="21" t="inlineStr">
        <is>
          <t>音效</t>
        </is>
      </c>
      <c r="C70" s="21" t="inlineStr">
        <is>
          <t>配乐</t>
        </is>
      </c>
      <c r="D70" s="21" t="inlineStr">
        <is>
          <t>通用</t>
        </is>
      </c>
      <c r="E70" s="21" t="inlineStr">
        <is>
          <t>无碰撞装饰</t>
        </is>
      </c>
      <c r="F70" s="21" t="inlineStr">
        <is>
          <t>后期加即可，不必进程序</t>
        </is>
      </c>
      <c r="G70" s="21" t="inlineStr">
        <is>
          <t>P2</t>
        </is>
      </c>
      <c r="H70" s="12" t="inlineStr">
        <is>
          <t>暂缓</t>
        </is>
      </c>
      <c r="I70" s="12" t="n"/>
      <c r="J70" s="22" t="inlineStr">
        <is>
          <t>V24</t>
        </is>
      </c>
      <c r="K70" s="12" t="n"/>
    </row>
    <row r="71" ht="30" customHeight="1">
      <c r="A71" s="21" t="inlineStr">
        <is>
          <t>U02</t>
        </is>
      </c>
      <c r="B71" s="21" t="inlineStr">
        <is>
          <t>音效</t>
        </is>
      </c>
      <c r="C71" s="21" t="inlineStr">
        <is>
          <t>扇翅 / 拾取 / 撞击音效</t>
        </is>
      </c>
      <c r="D71" s="21" t="inlineStr">
        <is>
          <t>通用</t>
        </is>
      </c>
      <c r="E71" s="21" t="inlineStr">
        <is>
          <t>无碰撞装饰</t>
        </is>
      </c>
      <c r="F71" s="21" t="inlineStr">
        <is>
          <t>有空再说</t>
        </is>
      </c>
      <c r="G71" s="21" t="inlineStr">
        <is>
          <t>P2</t>
        </is>
      </c>
      <c r="H71" s="12" t="inlineStr">
        <is>
          <t>暂缓</t>
        </is>
      </c>
      <c r="I71" s="12" t="n"/>
      <c r="J71" s="22" t="inlineStr">
        <is>
          <t>V24</t>
        </is>
      </c>
      <c r="K71" s="12" t="n"/>
    </row>
    <row r="72" ht="20" customHeight="1">
      <c r="A72" s="6" t="n"/>
      <c r="B72" s="6" t="n"/>
      <c r="C72" s="6" t="n"/>
      <c r="D72" s="6" t="n"/>
      <c r="E72" s="6" t="n"/>
      <c r="F72" s="6" t="n"/>
      <c r="G72" s="6" t="n"/>
      <c r="H72" s="12" t="n"/>
      <c r="I72" s="12" t="n"/>
      <c r="J72" s="13" t="n"/>
      <c r="K72" s="12" t="n"/>
    </row>
    <row r="73" ht="20" customHeight="1">
      <c r="A73" s="6" t="n"/>
      <c r="B73" s="6" t="n"/>
      <c r="C73" s="6" t="n"/>
      <c r="D73" s="6" t="n"/>
      <c r="E73" s="6" t="n"/>
      <c r="F73" s="6" t="n"/>
      <c r="G73" s="6" t="n"/>
      <c r="H73" s="12" t="n"/>
      <c r="I73" s="12" t="n"/>
      <c r="J73" s="13" t="n"/>
      <c r="K73" s="12" t="n"/>
    </row>
    <row r="74" ht="20" customHeight="1">
      <c r="A74" s="6" t="n"/>
      <c r="B74" s="6" t="n"/>
      <c r="C74" s="6" t="n"/>
      <c r="D74" s="6" t="n"/>
      <c r="E74" s="6" t="n"/>
      <c r="F74" s="6" t="n"/>
      <c r="G74" s="6" t="n"/>
      <c r="H74" s="12" t="n"/>
      <c r="I74" s="12" t="n"/>
      <c r="J74" s="13" t="n"/>
      <c r="K74" s="12" t="n"/>
    </row>
    <row r="75" ht="20" customHeight="1">
      <c r="A75" s="6" t="n"/>
      <c r="B75" s="6" t="n"/>
      <c r="C75" s="6" t="n"/>
      <c r="D75" s="6" t="n"/>
      <c r="E75" s="6" t="n"/>
      <c r="F75" s="6" t="n"/>
      <c r="G75" s="6" t="n"/>
      <c r="H75" s="12" t="n"/>
      <c r="I75" s="12" t="n"/>
      <c r="J75" s="13" t="n"/>
      <c r="K75" s="12" t="n"/>
    </row>
    <row r="76" ht="20" customHeight="1">
      <c r="A76" s="6" t="n"/>
      <c r="B76" s="6" t="n"/>
      <c r="C76" s="6" t="n"/>
      <c r="D76" s="6" t="n"/>
      <c r="E76" s="6" t="n"/>
      <c r="F76" s="6" t="n"/>
      <c r="G76" s="6" t="n"/>
      <c r="H76" s="12" t="n"/>
      <c r="I76" s="12" t="n"/>
      <c r="J76" s="13" t="n"/>
      <c r="K76" s="12" t="n"/>
    </row>
    <row r="77" ht="20" customHeight="1">
      <c r="A77" s="6" t="n"/>
      <c r="B77" s="6" t="n"/>
      <c r="C77" s="6" t="n"/>
      <c r="D77" s="6" t="n"/>
      <c r="E77" s="6" t="n"/>
      <c r="F77" s="6" t="n"/>
      <c r="G77" s="6" t="n"/>
      <c r="H77" s="12" t="n"/>
      <c r="I77" s="12" t="n"/>
      <c r="J77" s="13" t="n"/>
      <c r="K77" s="12" t="n"/>
    </row>
    <row r="78" ht="20" customHeight="1">
      <c r="A78" s="6" t="n"/>
      <c r="B78" s="6" t="n"/>
      <c r="C78" s="6" t="n"/>
      <c r="D78" s="6" t="n"/>
      <c r="E78" s="6" t="n"/>
      <c r="F78" s="6" t="n"/>
      <c r="G78" s="6" t="n"/>
      <c r="H78" s="12" t="n"/>
      <c r="I78" s="12" t="n"/>
      <c r="J78" s="13" t="n"/>
      <c r="K78" s="12" t="n"/>
    </row>
    <row r="79" ht="20" customHeight="1">
      <c r="A79" s="6" t="n"/>
      <c r="B79" s="6" t="n"/>
      <c r="C79" s="6" t="n"/>
      <c r="D79" s="6" t="n"/>
      <c r="E79" s="6" t="n"/>
      <c r="F79" s="6" t="n"/>
      <c r="G79" s="6" t="n"/>
      <c r="H79" s="12" t="n"/>
      <c r="I79" s="12" t="n"/>
      <c r="J79" s="13" t="n"/>
      <c r="K79" s="12" t="n"/>
    </row>
    <row r="80" ht="20" customHeight="1">
      <c r="A80" s="6" t="n"/>
      <c r="B80" s="6" t="n"/>
      <c r="C80" s="6" t="n"/>
      <c r="D80" s="6" t="n"/>
      <c r="E80" s="6" t="n"/>
      <c r="F80" s="6" t="n"/>
      <c r="G80" s="6" t="n"/>
      <c r="H80" s="12" t="n"/>
      <c r="I80" s="12" t="n"/>
      <c r="J80" s="13" t="n"/>
      <c r="K80" s="12" t="n"/>
    </row>
    <row r="81" ht="20" customHeight="1">
      <c r="A81" s="6" t="n"/>
      <c r="B81" s="6" t="n"/>
      <c r="C81" s="6" t="n"/>
      <c r="D81" s="6" t="n"/>
      <c r="E81" s="6" t="n"/>
      <c r="F81" s="6" t="n"/>
      <c r="G81" s="6" t="n"/>
      <c r="H81" s="12" t="n"/>
      <c r="I81" s="12" t="n"/>
      <c r="J81" s="13" t="n"/>
      <c r="K81" s="12" t="n"/>
    </row>
    <row r="82" ht="20" customHeight="1">
      <c r="A82" s="6" t="n"/>
      <c r="B82" s="6" t="n"/>
      <c r="C82" s="6" t="n"/>
      <c r="D82" s="6" t="n"/>
      <c r="E82" s="6" t="n"/>
      <c r="F82" s="6" t="n"/>
      <c r="G82" s="6" t="n"/>
      <c r="H82" s="12" t="n"/>
      <c r="I82" s="12" t="n"/>
      <c r="J82" s="13" t="n"/>
      <c r="K82" s="12" t="n"/>
    </row>
    <row r="83" ht="20" customHeight="1">
      <c r="A83" s="6" t="n"/>
      <c r="B83" s="6" t="n"/>
      <c r="C83" s="6" t="n"/>
      <c r="D83" s="6" t="n"/>
      <c r="E83" s="6" t="n"/>
      <c r="F83" s="6" t="n"/>
      <c r="G83" s="6" t="n"/>
      <c r="H83" s="12" t="n"/>
      <c r="I83" s="12" t="n"/>
      <c r="J83" s="13" t="n"/>
      <c r="K83" s="12" t="n"/>
    </row>
    <row r="84" ht="20" customHeight="1">
      <c r="A84" s="6" t="n"/>
      <c r="B84" s="6" t="n"/>
      <c r="C84" s="6" t="n"/>
      <c r="D84" s="6" t="n"/>
      <c r="E84" s="6" t="n"/>
      <c r="F84" s="6" t="n"/>
      <c r="G84" s="6" t="n"/>
      <c r="H84" s="12" t="n"/>
      <c r="I84" s="12" t="n"/>
      <c r="J84" s="13" t="n"/>
      <c r="K84" s="12" t="n"/>
    </row>
    <row r="85" ht="20" customHeight="1">
      <c r="A85" s="6" t="n"/>
      <c r="B85" s="6" t="n"/>
      <c r="C85" s="6" t="n"/>
      <c r="D85" s="6" t="n"/>
      <c r="E85" s="6" t="n"/>
      <c r="F85" s="6" t="n"/>
      <c r="G85" s="6" t="n"/>
      <c r="H85" s="12" t="n"/>
      <c r="I85" s="12" t="n"/>
      <c r="J85" s="13" t="n"/>
      <c r="K85" s="12" t="n"/>
    </row>
    <row r="86" ht="20" customHeight="1">
      <c r="A86" s="6" t="n"/>
      <c r="B86" s="6" t="n"/>
      <c r="C86" s="6" t="n"/>
      <c r="D86" s="6" t="n"/>
      <c r="E86" s="6" t="n"/>
      <c r="F86" s="6" t="n"/>
      <c r="G86" s="6" t="n"/>
      <c r="H86" s="12" t="n"/>
      <c r="I86" s="12" t="n"/>
      <c r="J86" s="13" t="n"/>
      <c r="K86" s="12" t="n"/>
    </row>
    <row r="87" ht="20" customHeight="1">
      <c r="A87" s="6" t="n"/>
      <c r="B87" s="6" t="n"/>
      <c r="C87" s="6" t="n"/>
      <c r="D87" s="6" t="n"/>
      <c r="E87" s="6" t="n"/>
      <c r="F87" s="6" t="n"/>
      <c r="G87" s="6" t="n"/>
      <c r="H87" s="12" t="n"/>
      <c r="I87" s="12" t="n"/>
      <c r="J87" s="13" t="n"/>
      <c r="K87" s="12" t="n"/>
    </row>
    <row r="88" ht="20" customHeight="1">
      <c r="A88" s="6" t="n"/>
      <c r="B88" s="6" t="n"/>
      <c r="C88" s="6" t="n"/>
      <c r="D88" s="6" t="n"/>
      <c r="E88" s="6" t="n"/>
      <c r="F88" s="6" t="n"/>
      <c r="G88" s="6" t="n"/>
      <c r="H88" s="12" t="n"/>
      <c r="I88" s="12" t="n"/>
      <c r="J88" s="13" t="n"/>
      <c r="K88" s="12" t="n"/>
    </row>
    <row r="89" ht="20" customHeight="1">
      <c r="A89" s="6" t="n"/>
      <c r="B89" s="6" t="n"/>
      <c r="C89" s="6" t="n"/>
      <c r="D89" s="6" t="n"/>
      <c r="E89" s="6" t="n"/>
      <c r="F89" s="6" t="n"/>
      <c r="G89" s="6" t="n"/>
      <c r="H89" s="12" t="n"/>
      <c r="I89" s="12" t="n"/>
      <c r="J89" s="13" t="n"/>
      <c r="K89" s="12" t="n"/>
    </row>
    <row r="90" ht="20" customHeight="1">
      <c r="A90" s="6" t="n"/>
      <c r="B90" s="6" t="n"/>
      <c r="C90" s="6" t="n"/>
      <c r="D90" s="6" t="n"/>
      <c r="E90" s="6" t="n"/>
      <c r="F90" s="6" t="n"/>
      <c r="G90" s="6" t="n"/>
      <c r="H90" s="12" t="n"/>
      <c r="I90" s="12" t="n"/>
      <c r="J90" s="13" t="n"/>
      <c r="K90" s="12" t="n"/>
    </row>
    <row r="91" ht="20" customHeight="1">
      <c r="A91" s="6" t="n"/>
      <c r="B91" s="6" t="n"/>
      <c r="C91" s="6" t="n"/>
      <c r="D91" s="6" t="n"/>
      <c r="E91" s="6" t="n"/>
      <c r="F91" s="6" t="n"/>
      <c r="G91" s="6" t="n"/>
      <c r="H91" s="12" t="n"/>
      <c r="I91" s="12" t="n"/>
      <c r="J91" s="13" t="n"/>
      <c r="K91" s="12" t="n"/>
    </row>
    <row r="92" ht="20" customHeight="1">
      <c r="A92" s="6" t="n"/>
      <c r="B92" s="6" t="n"/>
      <c r="C92" s="6" t="n"/>
      <c r="D92" s="6" t="n"/>
      <c r="E92" s="6" t="n"/>
      <c r="F92" s="6" t="n"/>
      <c r="G92" s="6" t="n"/>
      <c r="H92" s="12" t="n"/>
      <c r="I92" s="12" t="n"/>
      <c r="J92" s="13" t="n"/>
      <c r="K92" s="12" t="n"/>
    </row>
    <row r="93" ht="20" customHeight="1">
      <c r="A93" s="6" t="n"/>
      <c r="B93" s="6" t="n"/>
      <c r="C93" s="6" t="n"/>
      <c r="D93" s="6" t="n"/>
      <c r="E93" s="6" t="n"/>
      <c r="F93" s="6" t="n"/>
      <c r="G93" s="6" t="n"/>
      <c r="H93" s="12" t="n"/>
      <c r="I93" s="12" t="n"/>
      <c r="J93" s="13" t="n"/>
      <c r="K93" s="12" t="n"/>
    </row>
    <row r="94" ht="20" customHeight="1">
      <c r="A94" s="6" t="n"/>
      <c r="B94" s="6" t="n"/>
      <c r="C94" s="6" t="n"/>
      <c r="D94" s="6" t="n"/>
      <c r="E94" s="6" t="n"/>
      <c r="F94" s="6" t="n"/>
      <c r="G94" s="6" t="n"/>
      <c r="H94" s="12" t="n"/>
      <c r="I94" s="12" t="n"/>
      <c r="J94" s="13" t="n"/>
      <c r="K94" s="12" t="n"/>
    </row>
    <row r="95" ht="20" customHeight="1">
      <c r="A95" s="6" t="n"/>
      <c r="B95" s="6" t="n"/>
      <c r="C95" s="6" t="n"/>
      <c r="D95" s="6" t="n"/>
      <c r="E95" s="6" t="n"/>
      <c r="F95" s="6" t="n"/>
      <c r="G95" s="6" t="n"/>
      <c r="H95" s="12" t="n"/>
      <c r="I95" s="12" t="n"/>
      <c r="J95" s="13" t="n"/>
      <c r="K95" s="12" t="n"/>
    </row>
  </sheetData>
  <autoFilter ref="A1:K95"/>
  <conditionalFormatting sqref="H2:H95">
    <cfRule type="expression" priority="1" dxfId="0">
      <formula>H2="已接入"</formula>
    </cfRule>
  </conditionalFormatting>
  <dataValidations count="5">
    <dataValidation sqref="B2:B95" showDropDown="0" showInputMessage="0" showErrorMessage="1" allowBlank="0" errorTitle="类别" error="请从下拉列表选择" type="list">
      <formula1>"角色,障碍,背景,拾取物,特效,文案,HUD,音效"</formula1>
    </dataValidation>
    <dataValidation sqref="D2:D95" showDropDown="0" showInputMessage="0" showErrorMessage="1" allowBlank="0" errorTitle="季节或节日" error="请从下拉列表选择" type="list">
      <formula1>"通用,春,夏,秋,冬,圣诞,春节,元宵,纪念日,新年,亚运,傍晚,夜晚,按时钟"</formula1>
    </dataValidation>
    <dataValidation sqref="E2:E95" showDropDown="0" showInputMessage="0" showErrorMessage="1" allowBlank="0" errorTitle="碰撞形状" error="请从下拉列表选择" type="list">
      <formula1>"矩形柱双缺口,仅下半,仅上半,三角朝上,三角朝下,连绵横条,拾取触发,无碰撞装饰,鸟矩形"</formula1>
    </dataValidation>
    <dataValidation sqref="G2:G95" showDropDown="0" showInputMessage="0" showErrorMessage="1" allowBlank="0" errorTitle="优先级" error="请从下拉列表选择" type="list">
      <formula1>"P0,P1,P2"</formula1>
    </dataValidation>
    <dataValidation sqref="H2:H95" showDropDown="0" showInputMessage="0" showErrorMessage="1" allowBlank="0" errorTitle="素材状态" error="请从下拉列表选择" type="list">
      <formula1>"未开始,草稿,已有贴图,已接入,暂缓"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9" customWidth="1" min="4" max="4"/>
    <col width="14" customWidth="1" min="5" max="5"/>
    <col width="42" customWidth="1" min="6" max="6"/>
    <col width="14" customWidth="1" min="7" max="7"/>
    <col width="10" customWidth="1" min="8" max="8"/>
    <col width="24" customWidth="1" min="9" max="9"/>
    <col width="18" customWidth="1" min="10" max="10"/>
    <col width="10" customWidth="1" min="11" max="11"/>
    <col width="20" customWidth="1" min="12" max="12"/>
    <col width="12" customWidth="1" min="13" max="13"/>
    <col width="24" customWidth="1" min="14" max="14"/>
  </cols>
  <sheetData>
    <row r="1" ht="28" customHeight="1">
      <c r="A1" s="4" t="inlineStr">
        <is>
          <t>镜号</t>
        </is>
      </c>
      <c r="B1" s="4" t="inlineStr">
        <is>
          <t>幕次</t>
        </is>
      </c>
      <c r="C1" s="4" t="inlineStr">
        <is>
          <t>用途</t>
        </is>
      </c>
      <c r="D1" s="4" t="inlineStr">
        <is>
          <t>优先级</t>
        </is>
      </c>
      <c r="E1" s="4" t="inlineStr">
        <is>
          <t>展示功能</t>
        </is>
      </c>
      <c r="F1" s="4" t="inlineStr">
        <is>
          <t>画面内容（拍什么）</t>
        </is>
      </c>
      <c r="G1" s="4" t="inlineStr">
        <is>
          <t>机位</t>
        </is>
      </c>
      <c r="H1" s="4" t="inlineStr">
        <is>
          <t>建议秒数</t>
        </is>
      </c>
      <c r="I1" s="4" t="inlineStr">
        <is>
          <t>需要素材编号</t>
        </is>
      </c>
      <c r="J1" s="4" t="inlineStr">
        <is>
          <t>依赖功能</t>
        </is>
      </c>
      <c r="K1" s="4" t="inlineStr">
        <is>
          <t>状态</t>
        </is>
      </c>
      <c r="L1" s="4" t="inlineStr">
        <is>
          <t>存档文件名</t>
        </is>
      </c>
      <c r="M1" s="4" t="inlineStr">
        <is>
          <t>拍摄日期</t>
        </is>
      </c>
      <c r="N1" s="4" t="inlineStr">
        <is>
          <t>备注</t>
        </is>
      </c>
    </row>
    <row r="2" ht="34" customHeight="1">
      <c r="A2" s="19" t="inlineStr">
        <is>
          <t>V01</t>
        </is>
      </c>
      <c r="B2" s="19" t="inlineStr">
        <is>
          <t>第一幕</t>
        </is>
      </c>
      <c r="C2" s="19" t="inlineStr">
        <is>
          <t>宣传片</t>
        </is>
      </c>
      <c r="D2" s="19" t="inlineStr">
        <is>
          <t>P1</t>
        </is>
      </c>
      <c r="E2" s="19" t="inlineStr">
        <is>
          <t>点题字幕</t>
        </is>
      </c>
      <c r="F2" s="19" t="inlineStr">
        <is>
          <t>黑底白字 What is time?，可叠一只鸟慢慢飞过</t>
        </is>
      </c>
      <c r="G2" s="19" t="inlineStr">
        <is>
          <t>屏幕特写</t>
        </is>
      </c>
      <c r="H2" s="23" t="n">
        <v>6</v>
      </c>
      <c r="I2" s="20" t="inlineStr">
        <is>
          <t>T01</t>
        </is>
      </c>
      <c r="J2" s="20" t="inlineStr">
        <is>
          <t>—</t>
        </is>
      </c>
      <c r="K2" s="12" t="inlineStr">
        <is>
          <t>未拍</t>
        </is>
      </c>
      <c r="L2" s="12" t="n"/>
      <c r="M2" s="12" t="n"/>
      <c r="N2" s="12" t="n"/>
    </row>
    <row r="3" ht="34" customHeight="1">
      <c r="A3" s="19" t="inlineStr">
        <is>
          <t>V02</t>
        </is>
      </c>
      <c r="B3" s="19" t="inlineStr">
        <is>
          <t>第二幕</t>
        </is>
      </c>
      <c r="C3" s="19" t="inlineStr">
        <is>
          <t>宣传片</t>
        </is>
      </c>
      <c r="D3" s="19" t="inlineStr">
        <is>
          <t>P1</t>
        </is>
      </c>
      <c r="E3" s="19" t="inlineStr">
        <is>
          <t>春套</t>
        </is>
      </c>
      <c r="F3" s="19" t="inlineStr">
        <is>
          <t>藤蔓垂下、新芽、毛毛虫爬地，蝴蝶被吃到</t>
        </is>
      </c>
      <c r="G3" s="19" t="inlineStr">
        <is>
          <t>屏幕特写</t>
        </is>
      </c>
      <c r="H3" s="23" t="n">
        <v>10</v>
      </c>
      <c r="I3" s="20" t="inlineStr">
        <is>
          <t>B01-B03 O01-O03 K01</t>
        </is>
      </c>
      <c r="J3" s="20" t="inlineStr">
        <is>
          <t>G01 G02 G03</t>
        </is>
      </c>
      <c r="K3" s="12" t="inlineStr">
        <is>
          <t>未拍</t>
        </is>
      </c>
      <c r="L3" s="12" t="n"/>
      <c r="M3" s="12" t="n"/>
      <c r="N3" s="12" t="inlineStr">
        <is>
          <t>含拾取物，只能手动游玩拍摄（IDLE 自动飞不会出拾取物）</t>
        </is>
      </c>
    </row>
    <row r="4" ht="34" customHeight="1">
      <c r="A4" s="19" t="inlineStr">
        <is>
          <t>V03</t>
        </is>
      </c>
      <c r="B4" s="19" t="inlineStr">
        <is>
          <t>第二幕</t>
        </is>
      </c>
      <c r="C4" s="19" t="inlineStr">
        <is>
          <t>宣传片</t>
        </is>
      </c>
      <c r="D4" s="19" t="inlineStr">
        <is>
          <t>P1</t>
        </is>
      </c>
      <c r="E4" s="19" t="inlineStr">
        <is>
          <t>夏套</t>
        </is>
      </c>
      <c r="F4" s="19" t="inlineStr">
        <is>
          <t>大树成列，金字塔斜边贴飞，吃到棒冰</t>
        </is>
      </c>
      <c r="G4" s="19" t="inlineStr">
        <is>
          <t>屏幕特写</t>
        </is>
      </c>
      <c r="H4" s="23" t="n">
        <v>10</v>
      </c>
      <c r="I4" s="20" t="inlineStr">
        <is>
          <t>B04-B06 O04 O05 K02</t>
        </is>
      </c>
      <c r="J4" s="20" t="inlineStr">
        <is>
          <t>G01 G02</t>
        </is>
      </c>
      <c r="K4" s="12" t="inlineStr">
        <is>
          <t>未拍</t>
        </is>
      </c>
      <c r="L4" s="12" t="n"/>
      <c r="M4" s="12" t="n"/>
      <c r="N4" s="12" t="inlineStr">
        <is>
          <t>含拾取物，只能手动游玩拍摄（IDLE 自动飞不会出拾取物）</t>
        </is>
      </c>
    </row>
    <row r="5" ht="34" customHeight="1">
      <c r="A5" s="19" t="inlineStr">
        <is>
          <t>V04</t>
        </is>
      </c>
      <c r="B5" s="19" t="inlineStr">
        <is>
          <t>第二幕</t>
        </is>
      </c>
      <c r="C5" s="19" t="inlineStr">
        <is>
          <t>宣传片</t>
        </is>
      </c>
      <c r="D5" s="19" t="inlineStr">
        <is>
          <t>P1</t>
        </is>
      </c>
      <c r="E5" s="19" t="inlineStr">
        <is>
          <t>秋套</t>
        </is>
      </c>
      <c r="F5" s="19" t="inlineStr">
        <is>
          <t>风车转，红树，麦田贴地，枫叶飘落被吃</t>
        </is>
      </c>
      <c r="G5" s="19" t="inlineStr">
        <is>
          <t>屏幕特写</t>
        </is>
      </c>
      <c r="H5" s="23" t="n">
        <v>10</v>
      </c>
      <c r="I5" s="20" t="inlineStr">
        <is>
          <t>B07-B09 O06-O08 K03</t>
        </is>
      </c>
      <c r="J5" s="20" t="inlineStr">
        <is>
          <t>G01 G02</t>
        </is>
      </c>
      <c r="K5" s="12" t="inlineStr">
        <is>
          <t>未拍</t>
        </is>
      </c>
      <c r="L5" s="12" t="n"/>
      <c r="M5" s="12" t="n"/>
      <c r="N5" s="12" t="inlineStr">
        <is>
          <t>含拾取物，只能手动游玩拍摄（IDLE 自动飞不会出拾取物）</t>
        </is>
      </c>
    </row>
    <row r="6" ht="34" customHeight="1">
      <c r="A6" s="19" t="inlineStr">
        <is>
          <t>V05</t>
        </is>
      </c>
      <c r="B6" s="19" t="inlineStr">
        <is>
          <t>第二幕</t>
        </is>
      </c>
      <c r="C6" s="19" t="inlineStr">
        <is>
          <t>宣传片</t>
        </is>
      </c>
      <c r="D6" s="19" t="inlineStr">
        <is>
          <t>P1</t>
        </is>
      </c>
      <c r="E6" s="19" t="inlineStr">
        <is>
          <t>冬套</t>
        </is>
      </c>
      <c r="F6" s="19" t="inlineStr">
        <is>
          <t>光秃树，雪山斜坡，吃到手套</t>
        </is>
      </c>
      <c r="G6" s="19" t="inlineStr">
        <is>
          <t>屏幕特写</t>
        </is>
      </c>
      <c r="H6" s="23" t="n">
        <v>10</v>
      </c>
      <c r="I6" s="20" t="inlineStr">
        <is>
          <t>B10-B12 O09 O10 K04</t>
        </is>
      </c>
      <c r="J6" s="20" t="inlineStr">
        <is>
          <t>G01 G02</t>
        </is>
      </c>
      <c r="K6" s="12" t="inlineStr">
        <is>
          <t>未拍</t>
        </is>
      </c>
      <c r="L6" s="12" t="n"/>
      <c r="M6" s="12" t="n"/>
      <c r="N6" s="12" t="inlineStr">
        <is>
          <t>含拾取物，只能手动游玩拍摄（IDLE 自动飞不会出拾取物）</t>
        </is>
      </c>
    </row>
    <row r="7" ht="34" customHeight="1">
      <c r="A7" s="19" t="inlineStr">
        <is>
          <t>V06</t>
        </is>
      </c>
      <c r="B7" s="19" t="inlineStr">
        <is>
          <t>第二幕</t>
        </is>
      </c>
      <c r="C7" s="19" t="inlineStr">
        <is>
          <t>宣传片</t>
        </is>
      </c>
      <c r="D7" s="19" t="inlineStr">
        <is>
          <t>P1</t>
        </is>
      </c>
      <c r="E7" s="19" t="inlineStr">
        <is>
          <t>四季连切</t>
        </is>
      </c>
      <c r="F7" s="19" t="inlineStr">
        <is>
          <t>同一段飞行，四套资源快切，强调时间流动</t>
        </is>
      </c>
      <c r="G7" s="19" t="inlineStr">
        <is>
          <t>屏幕蒙太奇</t>
        </is>
      </c>
      <c r="H7" s="23" t="n">
        <v>8</v>
      </c>
      <c r="I7" s="20" t="inlineStr">
        <is>
          <t>B01-B12 O01-O10</t>
        </is>
      </c>
      <c r="J7" s="20" t="inlineStr">
        <is>
          <t>G02 G05</t>
        </is>
      </c>
      <c r="K7" s="12" t="inlineStr">
        <is>
          <t>未拍</t>
        </is>
      </c>
      <c r="L7" s="12" t="n"/>
      <c r="M7" s="12" t="n"/>
      <c r="N7" s="12" t="n"/>
    </row>
    <row r="8" ht="34" customHeight="1">
      <c r="A8" s="21" t="inlineStr">
        <is>
          <t>V07</t>
        </is>
      </c>
      <c r="B8" s="21" t="inlineStr">
        <is>
          <t>第三幕</t>
        </is>
      </c>
      <c r="C8" s="21" t="inlineStr">
        <is>
          <t>宣传片</t>
        </is>
      </c>
      <c r="D8" s="21" t="inlineStr">
        <is>
          <t>P2</t>
        </is>
      </c>
      <c r="E8" s="21" t="inlineStr">
        <is>
          <t>圣诞</t>
        </is>
      </c>
      <c r="F8" s="21" t="inlineStr">
        <is>
          <t>圣诞树斜边，礼盒拾取，冬套做底</t>
        </is>
      </c>
      <c r="G8" s="21" t="inlineStr">
        <is>
          <t>屏幕特写</t>
        </is>
      </c>
      <c r="H8" s="24" t="n">
        <v>8</v>
      </c>
      <c r="I8" s="22" t="inlineStr">
        <is>
          <t>O11 K05 T03</t>
        </is>
      </c>
      <c r="J8" s="22" t="inlineStr">
        <is>
          <t>G01 G02</t>
        </is>
      </c>
      <c r="K8" s="12" t="inlineStr">
        <is>
          <t>未拍</t>
        </is>
      </c>
      <c r="L8" s="12" t="n"/>
      <c r="M8" s="12" t="n"/>
      <c r="N8" s="12" t="inlineStr">
        <is>
          <t>含拾取物，只能手动游玩拍摄（IDLE 自动飞不会出拾取物）</t>
        </is>
      </c>
    </row>
    <row r="9" ht="34" customHeight="1">
      <c r="A9" s="21" t="inlineStr">
        <is>
          <t>V08</t>
        </is>
      </c>
      <c r="B9" s="21" t="inlineStr">
        <is>
          <t>第三幕</t>
        </is>
      </c>
      <c r="C9" s="21" t="inlineStr">
        <is>
          <t>宣传片</t>
        </is>
      </c>
      <c r="D9" s="21" t="inlineStr">
        <is>
          <t>P2</t>
        </is>
      </c>
      <c r="E9" s="21" t="inlineStr">
        <is>
          <t>春节</t>
        </is>
      </c>
      <c r="F9" s="21" t="inlineStr">
        <is>
          <t>鞭炮串垂下、舞狮贴地、中国结，春套做底</t>
        </is>
      </c>
      <c r="G9" s="21" t="inlineStr">
        <is>
          <t>屏幕特写</t>
        </is>
      </c>
      <c r="H9" s="24" t="n">
        <v>10</v>
      </c>
      <c r="I9" s="22" t="inlineStr">
        <is>
          <t>O12-O14</t>
        </is>
      </c>
      <c r="J9" s="22" t="inlineStr">
        <is>
          <t>G02</t>
        </is>
      </c>
      <c r="K9" s="12" t="inlineStr">
        <is>
          <t>未拍</t>
        </is>
      </c>
      <c r="L9" s="12" t="n"/>
      <c r="M9" s="12" t="n"/>
      <c r="N9" s="12" t="n"/>
    </row>
    <row r="10" ht="34" customHeight="1">
      <c r="A10" s="21" t="inlineStr">
        <is>
          <t>V09</t>
        </is>
      </c>
      <c r="B10" s="21" t="inlineStr">
        <is>
          <t>第三幕</t>
        </is>
      </c>
      <c r="C10" s="21" t="inlineStr">
        <is>
          <t>宣传片</t>
        </is>
      </c>
      <c r="D10" s="21" t="inlineStr">
        <is>
          <t>P2</t>
        </is>
      </c>
      <c r="E10" s="21" t="inlineStr">
        <is>
          <t>元宵</t>
        </is>
      </c>
      <c r="F10" s="21" t="inlineStr">
        <is>
          <t>成排花灯，吃汤圆，古诗从右飘过</t>
        </is>
      </c>
      <c r="G10" s="21" t="inlineStr">
        <is>
          <t>屏幕特写</t>
        </is>
      </c>
      <c r="H10" s="24" t="n">
        <v>10</v>
      </c>
      <c r="I10" s="22" t="inlineStr">
        <is>
          <t>O15 K06 F02</t>
        </is>
      </c>
      <c r="J10" s="22" t="inlineStr">
        <is>
          <t>G01 G04</t>
        </is>
      </c>
      <c r="K10" s="12" t="inlineStr">
        <is>
          <t>未拍</t>
        </is>
      </c>
      <c r="L10" s="12" t="n"/>
      <c r="M10" s="12" t="n"/>
      <c r="N10" s="12" t="inlineStr">
        <is>
          <t>含拾取物，只能手动游玩拍摄（IDLE 自动飞不会出拾取物）</t>
        </is>
      </c>
    </row>
    <row r="11" ht="34" customHeight="1">
      <c r="A11" s="21" t="inlineStr">
        <is>
          <t>V10</t>
        </is>
      </c>
      <c r="B11" s="21" t="inlineStr">
        <is>
          <t>第四幕</t>
        </is>
      </c>
      <c r="C11" s="21" t="inlineStr">
        <is>
          <t>宣传片</t>
        </is>
      </c>
      <c r="D11" s="21" t="inlineStr">
        <is>
          <t>P2</t>
        </is>
      </c>
      <c r="E11" s="21" t="inlineStr">
        <is>
          <t>纪念日</t>
        </is>
      </c>
      <c r="F11" s="21" t="inlineStr">
        <is>
          <t>玫瑰与礼袍之间穿行，最后吃到钻戒</t>
        </is>
      </c>
      <c r="G11" s="21" t="inlineStr">
        <is>
          <t>屏幕特写</t>
        </is>
      </c>
      <c r="H11" s="24" t="n">
        <v>8</v>
      </c>
      <c r="I11" s="22" t="inlineStr">
        <is>
          <t>O16 O17 K07 T04</t>
        </is>
      </c>
      <c r="J11" s="22" t="inlineStr">
        <is>
          <t>G01</t>
        </is>
      </c>
      <c r="K11" s="12" t="inlineStr">
        <is>
          <t>未拍</t>
        </is>
      </c>
      <c r="L11" s="12" t="n"/>
      <c r="M11" s="12" t="n"/>
      <c r="N11" s="12" t="inlineStr">
        <is>
          <t>含拾取物，只能手动游玩拍摄（IDLE 自动飞不会出拾取物）</t>
        </is>
      </c>
    </row>
    <row r="12" ht="34" customHeight="1">
      <c r="A12" s="21" t="inlineStr">
        <is>
          <t>V11</t>
        </is>
      </c>
      <c r="B12" s="21" t="inlineStr">
        <is>
          <t>第四幕</t>
        </is>
      </c>
      <c r="C12" s="21" t="inlineStr">
        <is>
          <t>宣传片</t>
        </is>
      </c>
      <c r="D12" s="21" t="inlineStr">
        <is>
          <t>P2</t>
        </is>
      </c>
      <c r="E12" s="21" t="inlineStr">
        <is>
          <t>新年特效</t>
        </is>
      </c>
      <c r="F12" s="21" t="inlineStr">
        <is>
          <t>Happy New Year 跳出，满屏烟花约 10 秒</t>
        </is>
      </c>
      <c r="G12" s="21" t="inlineStr">
        <is>
          <t>屏幕特写</t>
        </is>
      </c>
      <c r="H12" s="24" t="n">
        <v>10</v>
      </c>
      <c r="I12" s="22" t="inlineStr">
        <is>
          <t>F03 F04</t>
        </is>
      </c>
      <c r="J12" s="22" t="inlineStr">
        <is>
          <t>G04</t>
        </is>
      </c>
      <c r="K12" s="12" t="inlineStr">
        <is>
          <t>未拍</t>
        </is>
      </c>
      <c r="L12" s="12" t="n"/>
      <c r="M12" s="12" t="n"/>
      <c r="N12" s="12" t="n"/>
    </row>
    <row r="13" ht="34" customHeight="1">
      <c r="A13" s="21" t="inlineStr">
        <is>
          <t>V12</t>
        </is>
      </c>
      <c r="B13" s="21" t="inlineStr">
        <is>
          <t>第四幕</t>
        </is>
      </c>
      <c r="C13" s="21" t="inlineStr">
        <is>
          <t>宣传片</t>
        </is>
      </c>
      <c r="D13" s="21" t="inlineStr">
        <is>
          <t>P2</t>
        </is>
      </c>
      <c r="E13" s="21" t="inlineStr">
        <is>
          <t>亚运</t>
        </is>
      </c>
      <c r="F13" s="21" t="inlineStr">
        <is>
          <t>太阳纹背景，篮板与排球网兜之间穿行，吃到足球</t>
        </is>
      </c>
      <c r="G13" s="21" t="inlineStr">
        <is>
          <t>屏幕特写</t>
        </is>
      </c>
      <c r="H13" s="24" t="n">
        <v>8</v>
      </c>
      <c r="I13" s="22" t="inlineStr">
        <is>
          <t>B16 O18 O19 K08</t>
        </is>
      </c>
      <c r="J13" s="22" t="inlineStr">
        <is>
          <t>G01</t>
        </is>
      </c>
      <c r="K13" s="12" t="inlineStr">
        <is>
          <t>未拍</t>
        </is>
      </c>
      <c r="L13" s="12" t="n"/>
      <c r="M13" s="12" t="n"/>
      <c r="N13" s="12" t="inlineStr">
        <is>
          <t>含拾取物，只能手动游玩拍摄（IDLE 自动飞不会出拾取物）</t>
        </is>
      </c>
    </row>
    <row r="14" ht="34" customHeight="1">
      <c r="A14" s="21" t="inlineStr">
        <is>
          <t>V13</t>
        </is>
      </c>
      <c r="B14" s="21" t="inlineStr">
        <is>
          <t>第五幕</t>
        </is>
      </c>
      <c r="C14" s="21" t="inlineStr">
        <is>
          <t>宣传片</t>
        </is>
      </c>
      <c r="D14" s="21" t="inlineStr">
        <is>
          <t>P2</t>
        </is>
      </c>
      <c r="E14" s="21" t="inlineStr">
        <is>
          <t>春秋傍晚</t>
        </is>
      </c>
      <c r="F14" s="21" t="inlineStr">
        <is>
          <t>绿草甸转金黄，夕阳和云一起移动</t>
        </is>
      </c>
      <c r="G14" s="21" t="inlineStr">
        <is>
          <t>屏幕特写</t>
        </is>
      </c>
      <c r="H14" s="24" t="n">
        <v>10</v>
      </c>
      <c r="I14" s="22" t="inlineStr">
        <is>
          <t>B02 B08 B13 F01 T05</t>
        </is>
      </c>
      <c r="J14" s="22" t="inlineStr">
        <is>
          <t>G03 G05</t>
        </is>
      </c>
      <c r="K14" s="12" t="inlineStr">
        <is>
          <t>未拍</t>
        </is>
      </c>
      <c r="L14" s="12" t="n"/>
      <c r="M14" s="12" t="n"/>
      <c r="N14" s="12" t="n"/>
    </row>
    <row r="15" ht="34" customHeight="1">
      <c r="A15" s="21" t="inlineStr">
        <is>
          <t>V14</t>
        </is>
      </c>
      <c r="B15" s="21" t="inlineStr">
        <is>
          <t>第五幕</t>
        </is>
      </c>
      <c r="C15" s="21" t="inlineStr">
        <is>
          <t>宣传片</t>
        </is>
      </c>
      <c r="D15" s="21" t="inlineStr">
        <is>
          <t>P2</t>
        </is>
      </c>
      <c r="E15" s="21" t="inlineStr">
        <is>
          <t>夏冬夜晚</t>
        </is>
      </c>
      <c r="F15" s="21" t="inlineStr">
        <is>
          <t>星空烟火转冬夜雪山极光</t>
        </is>
      </c>
      <c r="G15" s="21" t="inlineStr">
        <is>
          <t>屏幕特写</t>
        </is>
      </c>
      <c r="H15" s="24" t="n">
        <v>10</v>
      </c>
      <c r="I15" s="22" t="inlineStr">
        <is>
          <t>B14 B15 F05 F06</t>
        </is>
      </c>
      <c r="J15" s="22" t="inlineStr">
        <is>
          <t>G03 G04 G05</t>
        </is>
      </c>
      <c r="K15" s="12" t="inlineStr">
        <is>
          <t>未拍</t>
        </is>
      </c>
      <c r="L15" s="12" t="n"/>
      <c r="M15" s="12" t="n"/>
      <c r="N15" s="12" t="n"/>
    </row>
    <row r="16" ht="34" customHeight="1">
      <c r="A16" s="21" t="inlineStr">
        <is>
          <t>V15</t>
        </is>
      </c>
      <c r="B16" s="21" t="inlineStr">
        <is>
          <t>第六幕</t>
        </is>
      </c>
      <c r="C16" s="21" t="inlineStr">
        <is>
          <t>宣传片</t>
        </is>
      </c>
      <c r="D16" s="21" t="inlineStr">
        <is>
          <t>P2</t>
        </is>
      </c>
      <c r="E16" s="21" t="inlineStr">
        <is>
          <t>收尾主句</t>
        </is>
      </c>
      <c r="F16" s="21" t="inlineStr">
        <is>
          <t>Time is not a number, it is … 后闪 memory / scenery / friends</t>
        </is>
      </c>
      <c r="G16" s="21" t="inlineStr">
        <is>
          <t>屏幕特写</t>
        </is>
      </c>
      <c r="H16" s="24" t="n">
        <v>8</v>
      </c>
      <c r="I16" s="22" t="inlineStr">
        <is>
          <t>T06 F07</t>
        </is>
      </c>
      <c r="J16" s="22" t="inlineStr">
        <is>
          <t>G04</t>
        </is>
      </c>
      <c r="K16" s="12" t="inlineStr">
        <is>
          <t>未拍</t>
        </is>
      </c>
      <c r="L16" s="12" t="n"/>
      <c r="M16" s="12" t="n"/>
      <c r="N16" s="12" t="n"/>
    </row>
    <row r="17" ht="34" customHeight="1">
      <c r="A17" s="19" t="inlineStr">
        <is>
          <t>V16</t>
        </is>
      </c>
      <c r="B17" s="19" t="inlineStr">
        <is>
          <t>第七幕</t>
        </is>
      </c>
      <c r="C17" s="19" t="inlineStr">
        <is>
          <t>宣传片</t>
        </is>
      </c>
      <c r="D17" s="19" t="inlineStr">
        <is>
          <t>P1</t>
        </is>
      </c>
      <c r="E17" s="19" t="inlineStr">
        <is>
          <t>回到开头</t>
        </is>
      </c>
      <c r="F17" s="19" t="inlineStr">
        <is>
          <t>重回 What is time，定格收束</t>
        </is>
      </c>
      <c r="G17" s="19" t="inlineStr">
        <is>
          <t>屏幕特写</t>
        </is>
      </c>
      <c r="H17" s="23" t="n">
        <v>5</v>
      </c>
      <c r="I17" s="20" t="inlineStr">
        <is>
          <t>T01</t>
        </is>
      </c>
      <c r="J17" s="20" t="inlineStr">
        <is>
          <t>—</t>
        </is>
      </c>
      <c r="K17" s="12" t="inlineStr">
        <is>
          <t>未拍</t>
        </is>
      </c>
      <c r="L17" s="12" t="n"/>
      <c r="M17" s="12" t="n"/>
      <c r="N17" s="12" t="n"/>
    </row>
    <row r="18" ht="34" customHeight="1">
      <c r="A18" s="19" t="inlineStr">
        <is>
          <t>V17</t>
        </is>
      </c>
      <c r="B18" s="19" t="inlineStr">
        <is>
          <t>待定</t>
        </is>
      </c>
      <c r="C18" s="19" t="inlineStr">
        <is>
          <t>备选</t>
        </is>
      </c>
      <c r="D18" s="19" t="inlineStr">
        <is>
          <t>P1</t>
        </is>
      </c>
      <c r="E18" s="19" t="inlineStr">
        <is>
          <t>基础玩法</t>
        </is>
      </c>
      <c r="F18" s="19" t="inlineStr">
        <is>
          <t>IDLE 自动飞、按键开始、按住扇翅、死亡重开、羽毛钟</t>
        </is>
      </c>
      <c r="G18" s="19" t="inlineStr">
        <is>
          <t>整机 + 屏幕</t>
        </is>
      </c>
      <c r="H18" s="23" t="n">
        <v>12</v>
      </c>
      <c r="I18" s="20" t="inlineStr">
        <is>
          <t>E01-E12</t>
        </is>
      </c>
      <c r="J18" s="20" t="inlineStr">
        <is>
          <t>已有</t>
        </is>
      </c>
      <c r="K18" s="12" t="inlineStr">
        <is>
          <t>未拍</t>
        </is>
      </c>
      <c r="L18" s="12" t="n"/>
      <c r="M18" s="12" t="n"/>
      <c r="N18" s="12" t="n"/>
    </row>
    <row r="19" ht="34" customHeight="1">
      <c r="A19" s="21" t="inlineStr">
        <is>
          <t>V18</t>
        </is>
      </c>
      <c r="B19" s="21" t="inlineStr">
        <is>
          <t>待定</t>
        </is>
      </c>
      <c r="C19" s="21" t="inlineStr">
        <is>
          <t>备选</t>
        </is>
      </c>
      <c r="D19" s="21" t="inlineStr">
        <is>
          <t>P2</t>
        </is>
      </c>
      <c r="E19" s="21" t="inlineStr">
        <is>
          <t>虚实结合</t>
        </is>
      </c>
      <c r="F19" s="21" t="inlineStr">
        <is>
          <t>Pi 屏幕出现在真实场景（窗台、树下、雪地）里</t>
        </is>
      </c>
      <c r="G19" s="21" t="inlineStr">
        <is>
          <t>实景手持</t>
        </is>
      </c>
      <c r="H19" s="24" t="n">
        <v>10</v>
      </c>
      <c r="I19" s="22" t="inlineStr">
        <is>
          <t>—</t>
        </is>
      </c>
      <c r="J19" s="22" t="inlineStr">
        <is>
          <t>已有</t>
        </is>
      </c>
      <c r="K19" s="12" t="inlineStr">
        <is>
          <t>未拍</t>
        </is>
      </c>
      <c r="L19" s="12" t="n"/>
      <c r="M19" s="12" t="n"/>
      <c r="N19" s="12" t="n"/>
    </row>
    <row r="20" ht="34" customHeight="1">
      <c r="A20" s="17" t="inlineStr">
        <is>
          <t>V19</t>
        </is>
      </c>
      <c r="B20" s="17" t="inlineStr">
        <is>
          <t>作业提交</t>
        </is>
      </c>
      <c r="C20" s="17" t="inlineStr">
        <is>
          <t>作业提交</t>
        </is>
      </c>
      <c r="D20" s="17" t="inlineStr">
        <is>
          <t>P0</t>
        </is>
      </c>
      <c r="E20" s="17" t="inlineStr">
        <is>
          <t>整机硬件</t>
        </is>
      </c>
      <c r="F20" s="17" t="inlineStr">
        <is>
          <t>Pi 5 + Mini PiTFT + 两颗按钮，接线和屏幕朝向能看清</t>
        </is>
      </c>
      <c r="G20" s="17" t="inlineStr">
        <is>
          <t>整机斜 45°</t>
        </is>
      </c>
      <c r="H20" s="25" t="n">
        <v>5</v>
      </c>
      <c r="I20" s="18" t="inlineStr">
        <is>
          <t>—</t>
        </is>
      </c>
      <c r="J20" s="18" t="inlineStr">
        <is>
          <t>hardware 后端</t>
        </is>
      </c>
      <c r="K20" s="12" t="inlineStr">
        <is>
          <t>未拍</t>
        </is>
      </c>
      <c r="L20" s="12" t="n"/>
      <c r="M20" s="12" t="n"/>
      <c r="N20" s="12" t="n"/>
    </row>
    <row r="21" ht="34" customHeight="1">
      <c r="A21" s="17" t="inlineStr">
        <is>
          <t>V20</t>
        </is>
      </c>
      <c r="B21" s="17" t="inlineStr">
        <is>
          <t>作业提交</t>
        </is>
      </c>
      <c r="C21" s="17" t="inlineStr">
        <is>
          <t>作业提交</t>
        </is>
      </c>
      <c r="D21" s="17" t="inlineStr">
        <is>
          <t>P0</t>
        </is>
      </c>
      <c r="E21" s="17" t="inlineStr">
        <is>
          <t>IDLE 自动驾驶</t>
        </is>
      </c>
      <c r="F21" s="17" t="inlineStr">
        <is>
          <t>无人操作时鸟自己穿过混搭障碍，HUD 显示时间</t>
        </is>
      </c>
      <c r="G21" s="17" t="inlineStr">
        <is>
          <t>屏幕特写</t>
        </is>
      </c>
      <c r="H21" s="25" t="n">
        <v>8</v>
      </c>
      <c r="I21" s="18" t="inlineStr">
        <is>
          <t>E01-E09</t>
        </is>
      </c>
      <c r="J21" s="18" t="inlineStr">
        <is>
          <t>auto_pilot</t>
        </is>
      </c>
      <c r="K21" s="12" t="inlineStr">
        <is>
          <t>未拍</t>
        </is>
      </c>
      <c r="L21" s="12" t="n"/>
      <c r="M21" s="12" t="n"/>
      <c r="N21" s="12" t="n"/>
    </row>
    <row r="22" ht="34" customHeight="1">
      <c r="A22" s="17" t="inlineStr">
        <is>
          <t>V21</t>
        </is>
      </c>
      <c r="B22" s="17" t="inlineStr">
        <is>
          <t>作业提交</t>
        </is>
      </c>
      <c r="C22" s="17" t="inlineStr">
        <is>
          <t>作业提交</t>
        </is>
      </c>
      <c r="D22" s="17" t="inlineStr">
        <is>
          <t>P0</t>
        </is>
      </c>
      <c r="E22" s="17" t="inlineStr">
        <is>
          <t>两颗按键</t>
        </is>
      </c>
      <c r="F22" s="17" t="inlineStr">
        <is>
          <t>上键开始，下键按住扇翅，手部与屏幕对切</t>
        </is>
      </c>
      <c r="G22" s="17" t="inlineStr">
        <is>
          <t>手部 + 屏幕</t>
        </is>
      </c>
      <c r="H22" s="25" t="n">
        <v>6</v>
      </c>
      <c r="I22" s="18" t="inlineStr">
        <is>
          <t>E11</t>
        </is>
      </c>
      <c r="J22" s="18" t="inlineStr">
        <is>
          <t>buttons</t>
        </is>
      </c>
      <c r="K22" s="12" t="inlineStr">
        <is>
          <t>未拍</t>
        </is>
      </c>
      <c r="L22" s="12" t="n"/>
      <c r="M22" s="12" t="n"/>
      <c r="N22" s="12" t="n"/>
    </row>
    <row r="23" ht="34" customHeight="1">
      <c r="A23" s="17" t="inlineStr">
        <is>
          <t>V22</t>
        </is>
      </c>
      <c r="B23" s="17" t="inlineStr">
        <is>
          <t>作业提交</t>
        </is>
      </c>
      <c r="C23" s="17" t="inlineStr">
        <is>
          <t>作业提交</t>
        </is>
      </c>
      <c r="D23" s="17" t="inlineStr">
        <is>
          <t>P0</t>
        </is>
      </c>
      <c r="E23" s="17" t="inlineStr">
        <is>
          <t>死亡与倒计时</t>
        </is>
      </c>
      <c r="F23" s="17" t="inlineStr">
        <is>
          <t>撞障碍坠落，出现 return 倒计时 / retry，下键重开</t>
        </is>
      </c>
      <c r="G23" s="17" t="inlineStr">
        <is>
          <t>屏幕特写</t>
        </is>
      </c>
      <c r="H23" s="25" t="n">
        <v>10</v>
      </c>
      <c r="I23" s="18" t="inlineStr">
        <is>
          <t>E11 E12</t>
        </is>
      </c>
      <c r="J23" s="18" t="inlineStr">
        <is>
          <t>death wait</t>
        </is>
      </c>
      <c r="K23" s="12" t="inlineStr">
        <is>
          <t>未拍</t>
        </is>
      </c>
      <c r="L23" s="12" t="n"/>
      <c r="M23" s="12" t="n"/>
      <c r="N23" s="12" t="n"/>
    </row>
    <row r="24" ht="34" customHeight="1">
      <c r="A24" s="17" t="inlineStr">
        <is>
          <t>V23</t>
        </is>
      </c>
      <c r="B24" s="17" t="inlineStr">
        <is>
          <t>作业提交</t>
        </is>
      </c>
      <c r="C24" s="17" t="inlineStr">
        <is>
          <t>作业提交</t>
        </is>
      </c>
      <c r="D24" s="17" t="inlineStr">
        <is>
          <t>P0</t>
        </is>
      </c>
      <c r="E24" s="17" t="inlineStr">
        <is>
          <t>羽毛钟与跳字</t>
        </is>
      </c>
      <c r="F24" s="17" t="inlineStr">
        <is>
          <t>左上四色羽毛走真实时间，秒变时右边弹绿色 +1</t>
        </is>
      </c>
      <c r="G24" s="17" t="inlineStr">
        <is>
          <t>屏幕特写</t>
        </is>
      </c>
      <c r="H24" s="25" t="n">
        <v>6</v>
      </c>
      <c r="I24" s="18" t="inlineStr">
        <is>
          <t>E09 E10</t>
        </is>
      </c>
      <c r="J24" s="18" t="inlineStr">
        <is>
          <t>clock_display</t>
        </is>
      </c>
      <c r="K24" s="12" t="inlineStr">
        <is>
          <t>未拍</t>
        </is>
      </c>
      <c r="L24" s="12" t="n"/>
      <c r="M24" s="12" t="n"/>
      <c r="N24" s="12" t="n"/>
    </row>
    <row r="25" ht="34" customHeight="1">
      <c r="A25" s="19" t="inlineStr">
        <is>
          <t>V24</t>
        </is>
      </c>
      <c r="B25" s="19" t="inlineStr">
        <is>
          <t>后期</t>
        </is>
      </c>
      <c r="C25" s="19" t="inlineStr">
        <is>
          <t>宣传片</t>
        </is>
      </c>
      <c r="D25" s="19" t="inlineStr">
        <is>
          <t>P1</t>
        </is>
      </c>
      <c r="E25" s="19" t="inlineStr">
        <is>
          <t>片头片尾</t>
        </is>
      </c>
      <c r="F25" s="19" t="inlineStr">
        <is>
          <t>标题、制作说明、AI 与合作致谢（作业要求写明）</t>
        </is>
      </c>
      <c r="G25" s="19" t="inlineStr">
        <is>
          <t>后期</t>
        </is>
      </c>
      <c r="H25" s="23" t="n">
        <v>8</v>
      </c>
      <c r="I25" s="20" t="inlineStr">
        <is>
          <t>T01 U01</t>
        </is>
      </c>
      <c r="J25" s="20" t="inlineStr">
        <is>
          <t>成片剪辑</t>
        </is>
      </c>
      <c r="K25" s="12" t="inlineStr">
        <is>
          <t>未拍</t>
        </is>
      </c>
      <c r="L25" s="12" t="n"/>
      <c r="M25" s="12" t="n"/>
      <c r="N25" s="12" t="n"/>
    </row>
    <row r="26">
      <c r="G26" s="15" t="inlineStr">
        <is>
          <t>合计秒数</t>
        </is>
      </c>
      <c r="H26" s="16">
        <f>SUM(H2:H25)</f>
        <v/>
      </c>
    </row>
    <row r="27" ht="20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12" t="n"/>
      <c r="L27" s="12" t="n"/>
      <c r="M27" s="12" t="n"/>
      <c r="N27" s="12" t="n"/>
    </row>
    <row r="28" ht="20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12" t="n"/>
      <c r="L28" s="12" t="n"/>
      <c r="M28" s="12" t="n"/>
      <c r="N28" s="12" t="n"/>
    </row>
    <row r="29" ht="20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12" t="n"/>
      <c r="L29" s="12" t="n"/>
      <c r="M29" s="12" t="n"/>
      <c r="N29" s="12" t="n"/>
    </row>
    <row r="30" ht="20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12" t="n"/>
      <c r="L30" s="12" t="n"/>
      <c r="M30" s="12" t="n"/>
      <c r="N30" s="12" t="n"/>
    </row>
    <row r="31" ht="20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12" t="n"/>
      <c r="L31" s="12" t="n"/>
      <c r="M31" s="12" t="n"/>
      <c r="N31" s="12" t="n"/>
    </row>
    <row r="32" ht="20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12" t="n"/>
      <c r="L32" s="12" t="n"/>
      <c r="M32" s="12" t="n"/>
      <c r="N32" s="12" t="n"/>
    </row>
    <row r="33" ht="20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12" t="n"/>
      <c r="L33" s="12" t="n"/>
      <c r="M33" s="12" t="n"/>
      <c r="N33" s="12" t="n"/>
    </row>
    <row r="34" ht="20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12" t="n"/>
      <c r="L34" s="12" t="n"/>
      <c r="M34" s="12" t="n"/>
      <c r="N34" s="12" t="n"/>
    </row>
    <row r="35" ht="20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12" t="n"/>
      <c r="L35" s="12" t="n"/>
      <c r="M35" s="12" t="n"/>
      <c r="N35" s="12" t="n"/>
    </row>
    <row r="36" ht="20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12" t="n"/>
      <c r="L36" s="12" t="n"/>
      <c r="M36" s="12" t="n"/>
      <c r="N36" s="12" t="n"/>
    </row>
    <row r="37" ht="20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12" t="n"/>
      <c r="L37" s="12" t="n"/>
      <c r="M37" s="12" t="n"/>
      <c r="N37" s="12" t="n"/>
    </row>
    <row r="38" ht="20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12" t="n"/>
      <c r="L38" s="12" t="n"/>
      <c r="M38" s="12" t="n"/>
      <c r="N38" s="12" t="n"/>
    </row>
    <row r="39" ht="20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12" t="n"/>
      <c r="L39" s="12" t="n"/>
      <c r="M39" s="12" t="n"/>
      <c r="N39" s="12" t="n"/>
    </row>
    <row r="40" ht="20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12" t="n"/>
      <c r="L40" s="12" t="n"/>
      <c r="M40" s="12" t="n"/>
      <c r="N40" s="12" t="n"/>
    </row>
    <row r="41" ht="20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12" t="n"/>
      <c r="L41" s="12" t="n"/>
      <c r="M41" s="12" t="n"/>
      <c r="N41" s="12" t="n"/>
    </row>
    <row r="42" ht="20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12" t="n"/>
      <c r="L42" s="12" t="n"/>
      <c r="M42" s="12" t="n"/>
      <c r="N42" s="12" t="n"/>
    </row>
    <row r="43" ht="20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12" t="n"/>
      <c r="L43" s="12" t="n"/>
      <c r="M43" s="12" t="n"/>
      <c r="N43" s="12" t="n"/>
    </row>
    <row r="44" ht="20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12" t="n"/>
      <c r="L44" s="12" t="n"/>
      <c r="M44" s="12" t="n"/>
      <c r="N44" s="12" t="n"/>
    </row>
  </sheetData>
  <autoFilter ref="A1:N44"/>
  <conditionalFormatting sqref="K2:K44">
    <cfRule type="expression" priority="1" dxfId="0">
      <formula>K2="已选用"</formula>
    </cfRule>
  </conditionalFormatting>
  <dataValidations count="4">
    <dataValidation sqref="B2:B44" showDropDown="0" showInputMessage="0" showErrorMessage="1" allowBlank="0" errorTitle="幕次" error="请从下拉列表选择" type="list">
      <formula1>"第一幕,第二幕,第三幕,第四幕,第五幕,第六幕,第七幕,待定,作业提交,后期"</formula1>
    </dataValidation>
    <dataValidation sqref="C2:C44" showDropDown="0" showInputMessage="0" showErrorMessage="1" allowBlank="0" errorTitle="用途" error="请从下拉列表选择" type="list">
      <formula1>"宣传片,作业提交,备选"</formula1>
    </dataValidation>
    <dataValidation sqref="D2:D44" showDropDown="0" showInputMessage="0" showErrorMessage="1" allowBlank="0" errorTitle="优先级" error="请从下拉列表选择" type="list">
      <formula1>"P0,P1,P2"</formula1>
    </dataValidation>
    <dataValidation sqref="K2:K44" showDropDown="0" showInputMessage="0" showErrorMessage="1" allowBlank="0" errorTitle="镜头状态" error="请从下拉列表选择" type="list">
      <formula1>"未拍,已拍,已选用,不需要"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46" customWidth="1" min="3" max="3"/>
    <col width="26" customWidth="1" min="4" max="4"/>
    <col width="9" customWidth="1" min="5" max="5"/>
    <col width="11" customWidth="1" min="6" max="6"/>
    <col width="34" customWidth="1" min="7" max="7"/>
  </cols>
  <sheetData>
    <row r="1">
      <c r="A1" s="2" t="inlineStr">
        <is>
          <t>脚本需要、但程序还没有的功能。美术画好了也要这些才能上画面。</t>
        </is>
      </c>
    </row>
    <row r="2" ht="24" customHeight="1">
      <c r="A2" s="4" t="inlineStr">
        <is>
          <t>编号</t>
        </is>
      </c>
      <c r="B2" s="4" t="inlineStr">
        <is>
          <t>功能</t>
        </is>
      </c>
      <c r="C2" s="4" t="inlineStr">
        <is>
          <t>为什么需要</t>
        </is>
      </c>
      <c r="D2" s="4" t="inlineStr">
        <is>
          <t>依赖镜号</t>
        </is>
      </c>
      <c r="E2" s="4" t="inlineStr">
        <is>
          <t>优先级</t>
        </is>
      </c>
      <c r="F2" s="4" t="inlineStr">
        <is>
          <t>状态</t>
        </is>
      </c>
      <c r="G2" s="4" t="inlineStr">
        <is>
          <t>备注</t>
        </is>
      </c>
    </row>
    <row r="3" ht="34" customHeight="1">
      <c r="A3" s="19" t="inlineStr">
        <is>
          <t>G01</t>
        </is>
      </c>
      <c r="B3" s="19" t="inlineStr">
        <is>
          <t>拾取物生成与吃到判定</t>
        </is>
      </c>
      <c r="C3" s="19" t="inlineStr">
        <is>
          <t>脚本里有 8 个拾取物；items.py 只留了接口，还没真正生成</t>
        </is>
      </c>
      <c r="D3" s="20" t="inlineStr">
        <is>
          <t>V02-V05 V07 V09 V10 V12</t>
        </is>
      </c>
      <c r="E3" s="19" t="inlineStr">
        <is>
          <t>P1</t>
        </is>
      </c>
      <c r="F3" s="12" t="inlineStr">
        <is>
          <t>已完成</t>
        </is>
      </c>
      <c r="G3" s="12" t="inlineStr">
        <is>
          <t>已实现：生成/可达性/吃到加分/+N 跳字。仅手动模式，IDLE 不生成。无敌道具已留 kind 但默认关闭</t>
        </is>
      </c>
    </row>
    <row r="4" ht="34" customHeight="1">
      <c r="A4" s="19" t="inlineStr">
        <is>
          <t>G02</t>
        </is>
      </c>
      <c r="B4" s="19" t="inlineStr">
        <is>
          <t>季节 / 节日资源包切换</t>
        </is>
      </c>
      <c r="C4" s="19" t="inlineStr">
        <is>
          <t>同一套玩法要整套换天空、地面、障碍贴图</t>
        </is>
      </c>
      <c r="D4" s="20" t="inlineStr">
        <is>
          <t>V02-V08 V12</t>
        </is>
      </c>
      <c r="E4" s="19" t="inlineStr">
        <is>
          <t>P1</t>
        </is>
      </c>
      <c r="F4" s="12" t="inlineStr">
        <is>
          <t>已完成</t>
        </is>
      </c>
      <c r="G4" s="12" t="inlineStr">
        <is>
          <t>已完成（基础版）：skin.json 换整套贴图；按时间自动选季节还没做，见 G06</t>
        </is>
      </c>
    </row>
    <row r="5" ht="34" customHeight="1">
      <c r="A5" s="19" t="inlineStr">
        <is>
          <t>G03</t>
        </is>
      </c>
      <c r="B5" s="19" t="inlineStr">
        <is>
          <t>背景层与碰撞分离</t>
        </is>
      </c>
      <c r="C5" s="19" t="inlineStr">
        <is>
          <t>远景、草甸、云要能画在障碍之后且不参与碰撞</t>
        </is>
      </c>
      <c r="D5" s="20" t="inlineStr">
        <is>
          <t>V02-V05 V13 V14</t>
        </is>
      </c>
      <c r="E5" s="19" t="inlineStr">
        <is>
          <t>P1</t>
        </is>
      </c>
      <c r="F5" s="12" t="inlineStr">
        <is>
          <t>已完成</t>
        </is>
      </c>
      <c r="G5" s="12" t="inlineStr">
        <is>
          <t>已完成：天空层 + 远景视差层，都不参与碰撞</t>
        </is>
      </c>
    </row>
    <row r="6" ht="34" customHeight="1">
      <c r="A6" s="21" t="inlineStr">
        <is>
          <t>G04</t>
        </is>
      </c>
      <c r="B6" s="21" t="inlineStr">
        <is>
          <t>全屏特效层</t>
        </is>
      </c>
      <c r="C6" s="21" t="inlineStr">
        <is>
          <t>烟花、跳字、古诗飘字要盖在画面上，且不影响玩法</t>
        </is>
      </c>
      <c r="D6" s="22" t="inlineStr">
        <is>
          <t>V09 V11 V14 V15</t>
        </is>
      </c>
      <c r="E6" s="21" t="inlineStr">
        <is>
          <t>P2</t>
        </is>
      </c>
      <c r="F6" s="12" t="inlineStr">
        <is>
          <t>未开始</t>
        </is>
      </c>
      <c r="G6" s="12" t="inlineStr">
        <is>
          <t>E10 的跳字可以当原型放大</t>
        </is>
      </c>
    </row>
    <row r="7" ht="34" customHeight="1">
      <c r="A7" s="21" t="inlineStr">
        <is>
          <t>G05</t>
        </is>
      </c>
      <c r="B7" s="21" t="inlineStr">
        <is>
          <t>场景转场</t>
        </is>
      </c>
      <c r="C7" s="21" t="inlineStr">
        <is>
          <t>草甸转金黄、四季连切需要一个过渡而不是硬切</t>
        </is>
      </c>
      <c r="D7" s="22" t="inlineStr">
        <is>
          <t>V06 V13 V14</t>
        </is>
      </c>
      <c r="E7" s="21" t="inlineStr">
        <is>
          <t>P2</t>
        </is>
      </c>
      <c r="F7" s="12" t="inlineStr">
        <is>
          <t>未开始</t>
        </is>
      </c>
      <c r="G7" s="12" t="inlineStr">
        <is>
          <t>擦除或渐变，10 帧内完成够用</t>
        </is>
      </c>
    </row>
    <row r="8" ht="34" customHeight="1">
      <c r="A8" s="21" t="inlineStr">
        <is>
          <t>G06</t>
        </is>
      </c>
      <c r="B8" s="21" t="inlineStr">
        <is>
          <t>按真实时间自动选季节 / 节日</t>
        </is>
      </c>
      <c r="C8" s="21" t="inlineStr">
        <is>
          <t>让钟真的“过日子”，也省得手动切场景</t>
        </is>
      </c>
      <c r="D8" s="22" t="inlineStr">
        <is>
          <t>V06</t>
        </is>
      </c>
      <c r="E8" s="21" t="inlineStr">
        <is>
          <t>P2</t>
        </is>
      </c>
      <c r="F8" s="12" t="inlineStr">
        <is>
          <t>未开始</t>
        </is>
      </c>
      <c r="G8" s="12" t="inlineStr">
        <is>
          <t>config 里已留时刻规则的位置</t>
        </is>
      </c>
    </row>
    <row r="9" ht="34" customHeight="1">
      <c r="A9" s="19" t="inlineStr">
        <is>
          <t>G07</t>
        </is>
      </c>
      <c r="B9" s="19" t="inlineStr">
        <is>
          <t>贴图加载与缓存</t>
        </is>
      </c>
      <c r="C9" s="19" t="inlineStr">
        <is>
          <t>PIL 每帧缩放会拖慢 Pi，要预先缩放好再复用</t>
        </is>
      </c>
      <c r="D9" s="20" t="inlineStr">
        <is>
          <t>V02-V14</t>
        </is>
      </c>
      <c r="E9" s="19" t="inlineStr">
        <is>
          <t>P1</t>
        </is>
      </c>
      <c r="F9" s="12" t="inlineStr">
        <is>
          <t>已完成</t>
        </is>
      </c>
      <c r="G9" s="12" t="inlineStr">
        <is>
          <t>已完成：PNG 预缩放并缓存，缓存上限 512 条，实测 0.4ms/帧</t>
        </is>
      </c>
    </row>
    <row r="10" ht="34" customHeight="1">
      <c r="A10" s="21" t="inlineStr">
        <is>
          <t>G08</t>
        </is>
      </c>
      <c r="B10" s="21" t="inlineStr">
        <is>
          <t>音频播放</t>
        </is>
      </c>
      <c r="C10" s="21" t="inlineStr">
        <is>
          <t>可选；宣传片也可以后期配乐代替</t>
        </is>
      </c>
      <c r="D10" s="22" t="inlineStr">
        <is>
          <t>V24</t>
        </is>
      </c>
      <c r="E10" s="21" t="inlineStr">
        <is>
          <t>P2</t>
        </is>
      </c>
      <c r="F10" s="12" t="inlineStr">
        <is>
          <t>暂缓</t>
        </is>
      </c>
      <c r="G10" s="12" t="inlineStr">
        <is>
          <t>程序里不做也能交片</t>
        </is>
      </c>
    </row>
    <row r="11" ht="34" customHeight="1">
      <c r="A11" s="21" t="inlineStr">
        <is>
          <t>G09</t>
        </is>
      </c>
      <c r="B11" s="21" t="inlineStr">
        <is>
          <t>IDLE 场景快切（预览 / 拍摄用）</t>
        </is>
      </c>
      <c r="C11" s="21" t="inlineStr">
        <is>
          <t>在开始界面按飞键跳到下一个季节或节日，不用等真实时间到</t>
        </is>
      </c>
      <c r="D11" s="22" t="inlineStr">
        <is>
          <t>V02-V14</t>
        </is>
      </c>
      <c r="E11" s="21" t="inlineStr">
        <is>
          <t>P2</t>
        </is>
      </c>
      <c r="F11" s="12" t="inlineStr">
        <is>
          <t>未开始</t>
        </is>
      </c>
      <c r="G11" s="12" t="inlineStr">
        <is>
          <t>细节待定。IDLE 下飞键目前没有任何作用，正好空着可以用</t>
        </is>
      </c>
    </row>
    <row r="12" ht="20" customHeight="1">
      <c r="A12" s="6" t="n"/>
      <c r="B12" s="6" t="n"/>
      <c r="C12" s="6" t="n"/>
      <c r="D12" s="6" t="n"/>
      <c r="E12" s="6" t="n"/>
      <c r="F12" s="12" t="n"/>
      <c r="G12" s="12" t="n"/>
    </row>
    <row r="13" ht="20" customHeight="1">
      <c r="A13" s="6" t="n"/>
      <c r="B13" s="6" t="n"/>
      <c r="C13" s="6" t="n"/>
      <c r="D13" s="6" t="n"/>
      <c r="E13" s="6" t="n"/>
      <c r="F13" s="12" t="n"/>
      <c r="G13" s="12" t="n"/>
    </row>
    <row r="14" ht="20" customHeight="1">
      <c r="A14" s="6" t="n"/>
      <c r="B14" s="6" t="n"/>
      <c r="C14" s="6" t="n"/>
      <c r="D14" s="6" t="n"/>
      <c r="E14" s="6" t="n"/>
      <c r="F14" s="12" t="n"/>
      <c r="G14" s="12" t="n"/>
    </row>
    <row r="15" ht="20" customHeight="1">
      <c r="A15" s="6" t="n"/>
      <c r="B15" s="6" t="n"/>
      <c r="C15" s="6" t="n"/>
      <c r="D15" s="6" t="n"/>
      <c r="E15" s="6" t="n"/>
      <c r="F15" s="12" t="n"/>
      <c r="G15" s="12" t="n"/>
    </row>
    <row r="16" ht="20" customHeight="1">
      <c r="A16" s="6" t="n"/>
      <c r="B16" s="6" t="n"/>
      <c r="C16" s="6" t="n"/>
      <c r="D16" s="6" t="n"/>
      <c r="E16" s="6" t="n"/>
      <c r="F16" s="12" t="n"/>
      <c r="G16" s="12" t="n"/>
    </row>
    <row r="17" ht="20" customHeight="1">
      <c r="A17" s="6" t="n"/>
      <c r="B17" s="6" t="n"/>
      <c r="C17" s="6" t="n"/>
      <c r="D17" s="6" t="n"/>
      <c r="E17" s="6" t="n"/>
      <c r="F17" s="12" t="n"/>
      <c r="G17" s="12" t="n"/>
    </row>
    <row r="18" ht="20" customHeight="1">
      <c r="A18" s="6" t="n"/>
      <c r="B18" s="6" t="n"/>
      <c r="C18" s="6" t="n"/>
      <c r="D18" s="6" t="n"/>
      <c r="E18" s="6" t="n"/>
      <c r="F18" s="12" t="n"/>
      <c r="G18" s="12" t="n"/>
    </row>
    <row r="19" ht="20" customHeight="1">
      <c r="A19" s="6" t="n"/>
      <c r="B19" s="6" t="n"/>
      <c r="C19" s="6" t="n"/>
      <c r="D19" s="6" t="n"/>
      <c r="E19" s="6" t="n"/>
      <c r="F19" s="12" t="n"/>
      <c r="G19" s="12" t="n"/>
    </row>
    <row r="20" ht="20" customHeight="1">
      <c r="A20" s="6" t="n"/>
      <c r="B20" s="6" t="n"/>
      <c r="C20" s="6" t="n"/>
      <c r="D20" s="6" t="n"/>
      <c r="E20" s="6" t="n"/>
      <c r="F20" s="12" t="n"/>
      <c r="G20" s="12" t="n"/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</sheetData>
  <autoFilter ref="A2:G20"/>
  <mergeCells count="1">
    <mergeCell ref="A1:G1"/>
  </mergeCells>
  <conditionalFormatting sqref="F3:F20">
    <cfRule type="expression" priority="1" dxfId="0">
      <formula>F3="已完成"</formula>
    </cfRule>
  </conditionalFormatting>
  <dataValidations count="2">
    <dataValidation sqref="E3:E20" showDropDown="0" showInputMessage="0" showErrorMessage="1" allowBlank="0" errorTitle="优先级" error="请从下拉列表选择" type="list">
      <formula1>"P0,P1,P2"</formula1>
    </dataValidation>
    <dataValidation sqref="F3:F20" showDropDown="0" showInputMessage="0" showErrorMessage="1" allowBlank="0" errorTitle="状态" error="请从下拉列表选择" type="list">
      <formula1>"未开始,进行中,已完成,暂缓"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B2:G2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2" customWidth="1" min="5" max="5"/>
    <col width="16" customWidth="1" min="6" max="6"/>
    <col width="16" customWidth="1" min="7" max="7"/>
  </cols>
  <sheetData>
    <row r="2">
      <c r="B2" s="1" t="inlineStr">
        <is>
          <t>还剩多少（公式，别手填数字）</t>
        </is>
      </c>
    </row>
    <row r="3">
      <c r="B3" s="2" t="inlineStr">
        <is>
          <t>改另外三张表的状态列后这里跟着变。空白行状态为空，不计入。用 Excel 或 Numbers 打开才会算。</t>
        </is>
      </c>
    </row>
    <row r="5" ht="30" customHeight="1">
      <c r="B5" s="4" t="inlineStr">
        <is>
          <t>项目</t>
        </is>
      </c>
      <c r="C5" s="4" t="inlineStr">
        <is>
          <t>未开始</t>
        </is>
      </c>
      <c r="D5" s="4" t="inlineStr">
        <is>
          <t>进行中</t>
        </is>
      </c>
      <c r="E5" s="4" t="inlineStr">
        <is>
          <t>完成</t>
        </is>
      </c>
      <c r="F5" s="4" t="inlineStr">
        <is>
          <t>暂缓 / 不要</t>
        </is>
      </c>
      <c r="G5" s="4" t="inlineStr">
        <is>
          <t>合计有编号</t>
        </is>
      </c>
    </row>
    <row r="6" ht="22" customHeight="1">
      <c r="B6" s="26" t="inlineStr">
        <is>
          <t>素材（全部）</t>
        </is>
      </c>
      <c r="C6" s="27">
        <f>COUNTIF(素材表!H:H,"未开始")</f>
        <v/>
      </c>
      <c r="D6" s="27">
        <f>COUNTIF(素材表!H:H,"草稿")+COUNTIF(素材表!H:H,"已有贴图")</f>
        <v/>
      </c>
      <c r="E6" s="27">
        <f>COUNTIF(素材表!H:H,"已接入")</f>
        <v/>
      </c>
      <c r="F6" s="27">
        <f>COUNTIF(素材表!H:H,"暂缓")</f>
        <v/>
      </c>
      <c r="G6" s="27">
        <f>COUNTA(素材表!A:A)-1</f>
        <v/>
      </c>
    </row>
    <row r="7" ht="22" customHeight="1">
      <c r="B7" s="28" t="inlineStr">
        <is>
          <t>素材 P1（四季与开场）</t>
        </is>
      </c>
      <c r="C7" s="14">
        <f>COUNTIFS(素材表!G:G,"P1",素材表!H:H,"未开始")</f>
        <v/>
      </c>
      <c r="D7" s="14">
        <f>COUNTIFS(素材表!G:G,"P1",素材表!H:H,"草稿")+COUNTIFS(素材表!G:G,"P1",素材表!H:H,"已有贴图")</f>
        <v/>
      </c>
      <c r="E7" s="14">
        <f>COUNTIFS(素材表!G:G,"P1",素材表!H:H,"已接入")</f>
        <v/>
      </c>
      <c r="F7" s="14">
        <f>COUNTIFS(素材表!G:G,"P1",素材表!H:H,"暂缓")</f>
        <v/>
      </c>
      <c r="G7" s="14">
        <f>COUNTIF(素材表!G:G,"P1")</f>
        <v/>
      </c>
    </row>
    <row r="8" ht="22" customHeight="1">
      <c r="B8" s="26" t="inlineStr">
        <is>
          <t>素材 P2（节日 / 纪念日 / 风景）</t>
        </is>
      </c>
      <c r="C8" s="27">
        <f>COUNTIFS(素材表!G:G,"P2",素材表!H:H,"未开始")</f>
        <v/>
      </c>
      <c r="D8" s="27">
        <f>COUNTIFS(素材表!G:G,"P2",素材表!H:H,"草稿")+COUNTIFS(素材表!G:G,"P2",素材表!H:H,"已有贴图")</f>
        <v/>
      </c>
      <c r="E8" s="27">
        <f>COUNTIFS(素材表!G:G,"P2",素材表!H:H,"已接入")</f>
        <v/>
      </c>
      <c r="F8" s="27">
        <f>COUNTIFS(素材表!G:G,"P2",素材表!H:H,"暂缓")</f>
        <v/>
      </c>
      <c r="G8" s="27">
        <f>COUNTIF(素材表!G:G,"P2")</f>
        <v/>
      </c>
    </row>
    <row r="9" ht="22" customHeight="1">
      <c r="B9" s="28" t="inlineStr">
        <is>
          <t>镜头（全部）</t>
        </is>
      </c>
      <c r="C9" s="14">
        <f>COUNTIF(宣传镜头!K:K,"未拍")</f>
        <v/>
      </c>
      <c r="D9" s="14">
        <f>COUNTIF(宣传镜头!K:K,"已拍")</f>
        <v/>
      </c>
      <c r="E9" s="14">
        <f>COUNTIF(宣传镜头!K:K,"已选用")</f>
        <v/>
      </c>
      <c r="F9" s="14">
        <f>COUNTIF(宣传镜头!K:K,"不需要")</f>
        <v/>
      </c>
      <c r="G9" s="14">
        <f>COUNTA(宣传镜头!A:A)-1</f>
        <v/>
      </c>
    </row>
    <row r="10" ht="22" customHeight="1">
      <c r="B10" s="26" t="inlineStr">
        <is>
          <t>镜头 · 作业提交</t>
        </is>
      </c>
      <c r="C10" s="27">
        <f>COUNTIFS(宣传镜头!C:C,"作业提交",宣传镜头!K:K,"未拍")</f>
        <v/>
      </c>
      <c r="D10" s="27">
        <f>COUNTIFS(宣传镜头!C:C,"作业提交",宣传镜头!K:K,"已拍")</f>
        <v/>
      </c>
      <c r="E10" s="27">
        <f>COUNTIFS(宣传镜头!C:C,"作业提交",宣传镜头!K:K,"已选用")</f>
        <v/>
      </c>
      <c r="F10" s="27">
        <f>COUNTIFS(宣传镜头!C:C,"作业提交",宣传镜头!K:K,"不需要")</f>
        <v/>
      </c>
      <c r="G10" s="27">
        <f>COUNTIF(宣传镜头!C:C,"作业提交")</f>
        <v/>
      </c>
    </row>
    <row r="11" ht="22" customHeight="1">
      <c r="B11" s="28" t="inlineStr">
        <is>
          <t>镜头 · 宣传片</t>
        </is>
      </c>
      <c r="C11" s="14">
        <f>COUNTIFS(宣传镜头!C:C,"宣传片",宣传镜头!K:K,"未拍")</f>
        <v/>
      </c>
      <c r="D11" s="14">
        <f>COUNTIFS(宣传镜头!C:C,"宣传片",宣传镜头!K:K,"已拍")</f>
        <v/>
      </c>
      <c r="E11" s="14">
        <f>COUNTIFS(宣传镜头!C:C,"宣传片",宣传镜头!K:K,"已选用")</f>
        <v/>
      </c>
      <c r="F11" s="14">
        <f>COUNTIFS(宣传镜头!C:C,"宣传片",宣传镜头!K:K,"不需要")</f>
        <v/>
      </c>
      <c r="G11" s="14">
        <f>COUNTIF(宣传镜头!C:C,"宣传片")</f>
        <v/>
      </c>
    </row>
    <row r="12" ht="22" customHeight="1">
      <c r="B12" s="26" t="inlineStr">
        <is>
          <t>待做功能</t>
        </is>
      </c>
      <c r="C12" s="27">
        <f>COUNTIF(功能清单!F:F,"未开始")</f>
        <v/>
      </c>
      <c r="D12" s="27">
        <f>COUNTIF(功能清单!F:F,"进行中")</f>
        <v/>
      </c>
      <c r="E12" s="27">
        <f>COUNTIF(功能清单!F:F,"已完成")</f>
        <v/>
      </c>
      <c r="F12" s="27">
        <f>COUNTIF(功能清单!F:F,"暂缓")</f>
        <v/>
      </c>
      <c r="G12" s="27">
        <f>COUNTA(功能清单!A:A)-1</f>
        <v/>
      </c>
    </row>
    <row r="14">
      <c r="B14" s="3" t="inlineStr">
        <is>
          <t>赶工先看这三格</t>
        </is>
      </c>
    </row>
    <row r="15" ht="22" customHeight="1">
      <c r="B15" s="29" t="inlineStr">
        <is>
          <t>作业短视频还没处理完的镜数</t>
        </is>
      </c>
      <c r="C15" s="16">
        <f>C10+D10</f>
        <v/>
      </c>
    </row>
    <row r="16" ht="22" customHeight="1">
      <c r="B16" s="29" t="inlineStr">
        <is>
          <t>宣传片 P1 素材还差（未开始 + 进行中）</t>
        </is>
      </c>
      <c r="C16" s="16">
        <f>C7+D7</f>
        <v/>
      </c>
    </row>
    <row r="17" ht="22" customHeight="1">
      <c r="B17" s="29" t="inlineStr">
        <is>
          <t>卡住宣传片的功能数（未开始 + 进行中）</t>
        </is>
      </c>
      <c r="C17" s="16">
        <f>C12+D12</f>
        <v/>
      </c>
    </row>
    <row r="19">
      <c r="B19" s="30" t="inlineStr">
        <is>
          <t>「合计有编号」用 COUNTA 数编号列，空行不计入。素材的「进行中」= 草稿 + 已有贴图；镜头的「进行中」= 已拍但还没选用。想新增素材或镜头，直接在对应表底部空行写编号。</t>
        </is>
      </c>
    </row>
    <row r="20"/>
  </sheetData>
  <mergeCells count="3">
    <mergeCell ref="B3:G3"/>
    <mergeCell ref="B2:G2"/>
    <mergeCell ref="B19:G20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鸟钟素材与宣传镜头清单</dc:title>
  <dcterms:created xmlns:dcterms="http://purl.org/dc/terms/" xmlns:xsi="http://www.w3.org/2001/XMLSchema-instance" xsi:type="dcterms:W3CDTF">2026-09-17T19:34:04Z</dcterms:created>
  <dcterms:modified xmlns:dcterms="http://purl.org/dc/terms/" xmlns:xsi="http://www.w3.org/2001/XMLSchema-instance" xsi:type="dcterms:W3CDTF">2026-09-18T02:26:14Z</dcterms:modified>
</cp:coreProperties>
</file>